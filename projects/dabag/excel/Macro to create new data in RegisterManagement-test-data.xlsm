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thumbnail.wmf" Type="http://schemas.openxmlformats.org/package/2006/relationships/metadata/thumbnail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Relationship Id="rId5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02091\Ohne_OneDrive\Werkstatt_dabagMakro\TestPaket_20200508\Teilauslieferung_Part_II\"/>
    </mc:Choice>
  </mc:AlternateContent>
  <xr:revisionPtr revIDLastSave="0" documentId="13_ncr:1_{10CD9A3F-C1CB-4C94-A974-E81AAB3DCC3F}" xr6:coauthVersionLast="44" xr6:coauthVersionMax="44" xr10:uidLastSave="{00000000-0000-0000-0000-000000000000}"/>
  <bookViews>
    <workbookView xWindow="-108" yWindow="-108" windowWidth="22320" windowHeight="13176" tabRatio="885" firstSheet="5" activeTab="19" xr2:uid="{00000000-000D-0000-FFFF-FFFF00000000}"/>
  </bookViews>
  <sheets>
    <sheet name="Entry" sheetId="1" r:id="rId1"/>
    <sheet name="Sort" sheetId="8" state="hidden" r:id="rId2"/>
    <sheet name="Protocol" sheetId="37" r:id="rId3"/>
    <sheet name="Colors" sheetId="41" state="hidden" r:id="rId4"/>
    <sheet name="ColorsSave" sheetId="55" state="hidden" r:id="rId5"/>
    <sheet name="HistoryOfChanges" sheetId="54" r:id="rId6"/>
    <sheet name="SheetHeader_Changes_SAVE" sheetId="127" state="hidden" r:id="rId7"/>
    <sheet name="OverView_GrundbuchEinbuchen" sheetId="47" state="hidden" r:id="rId8"/>
    <sheet name="OverView_GrundpfandrechtEintrag" sheetId="33" state="hidden" r:id="rId9"/>
    <sheet name="OverView_GrundbuchEinbuch" sheetId="56" state="hidden" r:id="rId10"/>
    <sheet name="Docu_GrundbuchEinbuchen" sheetId="64" state="hidden" r:id="rId11"/>
    <sheet name="Docu_EoStandardProcess" sheetId="28" state="hidden" r:id="rId12"/>
    <sheet name="Werkstatt" sheetId="7" state="hidden" r:id="rId13"/>
    <sheet name="Tabelle1" sheetId="34" state="hidden" r:id="rId14"/>
    <sheet name="SheetHeader_OLD" sheetId="157" r:id="rId15"/>
    <sheet name="SheetHeader" sheetId="148" r:id="rId16"/>
    <sheet name="SheetHeader_Changes" sheetId="158" r:id="rId17"/>
    <sheet name="Objekt_OBJEKTKLASSE" sheetId="72" r:id="rId18"/>
    <sheet name="Docu Grundbuch_Einbuchen" sheetId="138" r:id="rId19"/>
    <sheet name="Docu Grundpfandrecht_Eintragen" sheetId="139" r:id="rId20"/>
    <sheet name="PERSONEN_List" sheetId="145" r:id="rId21"/>
    <sheet name="Docu_Eigentuemer" sheetId="57" r:id="rId22"/>
  </sheets>
  <functionGroups builtInGroupCount="19"/>
  <definedNames>
    <definedName name="_xlnm.Print_Area" localSheetId="15">SheetHeader!$A$1:$Q$45</definedName>
    <definedName name="_xlnm.Print_Area" localSheetId="16">SheetHeader_Changes!$A$3:$Q$45</definedName>
    <definedName name="_xlnm.Print_Area" localSheetId="14">SheetHeader_OLD!$A$1:$Q$43</definedName>
    <definedName name="_xlnm.Print_Titles" localSheetId="15">SheetHeader!#REF!</definedName>
    <definedName name="_xlnm.Print_Titles" localSheetId="16">SheetHeader_Changes!#REF!</definedName>
    <definedName name="_xlnm.Print_Titles" localSheetId="6">SheetHeader_Changes_SAVE!$A:$B,SheetHeader_Changes_SAVE!$1:$2</definedName>
    <definedName name="_xlnm.Print_Titles" localSheetId="14">SheetHeader_OLD!#REF!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4" i="57" l="1"/>
  <c r="J27" i="57" l="1"/>
  <c r="J26" i="57"/>
  <c r="J25" i="57"/>
  <c r="F23" i="57"/>
  <c r="J23" i="57" s="1"/>
  <c r="J28" i="57" l="1"/>
</calcChain>
</file>

<file path=xl/sharedStrings.xml><?xml version="1.0" encoding="utf-8"?>
<sst xmlns="http://schemas.openxmlformats.org/spreadsheetml/2006/main" count="7187" uniqueCount="1076">
  <si>
    <t>Flurstueck</t>
  </si>
  <si>
    <t>WirtschaftsartZuordnung</t>
  </si>
  <si>
    <t>Grundbuchblatt</t>
  </si>
  <si>
    <t>Buchungsstelle</t>
  </si>
  <si>
    <t>Eintragungsbeteiligter</t>
  </si>
  <si>
    <t>Person</t>
  </si>
  <si>
    <t>Erwerbsgrund</t>
  </si>
  <si>
    <t>BezBuchstelleErwerbsgrd</t>
  </si>
  <si>
    <t>BezBuchstelleEigentuemer</t>
  </si>
  <si>
    <t>BezBeteiligterErwerbsgrd</t>
  </si>
  <si>
    <t>Eintragungsgrundlage</t>
  </si>
  <si>
    <t>Belastung</t>
  </si>
  <si>
    <t>BezBelastungEigentuemer</t>
  </si>
  <si>
    <t>BezBuchstelleBelastung</t>
  </si>
  <si>
    <t>BezEintrObjEintrGrundl</t>
  </si>
  <si>
    <t>ID</t>
  </si>
  <si>
    <t>FK_GRUNDSTUECKID</t>
  </si>
  <si>
    <t>FK_GRUNDBUCHBLATTID</t>
  </si>
  <si>
    <t>Eintragungsobjekt</t>
  </si>
  <si>
    <t>FK_EINTRAGUNGID</t>
  </si>
  <si>
    <t>NULL</t>
  </si>
  <si>
    <t xml:space="preserve">Eintragung </t>
  </si>
  <si>
    <t>FK_FLURSTUECKID</t>
  </si>
  <si>
    <t>GRUNDBUCHBEZIRKSNUMMER</t>
  </si>
  <si>
    <t>GEMARKUNG</t>
  </si>
  <si>
    <t>Dörfleins</t>
  </si>
  <si>
    <t>NUMMER</t>
  </si>
  <si>
    <t>LFDNUMMER</t>
  </si>
  <si>
    <t>Eigentuemer</t>
  </si>
  <si>
    <t>Berechtigter</t>
  </si>
  <si>
    <t>Grundstueck</t>
  </si>
  <si>
    <t>NatuerlichePerson</t>
  </si>
  <si>
    <t>FK_BUCHUNGSSTELLEID</t>
  </si>
  <si>
    <t>FK_ERWERBSGRUNDID</t>
  </si>
  <si>
    <t>FK_EIGENTUEMERID</t>
  </si>
  <si>
    <t>FK_EINTRAGUNGSBETEILIGTERID</t>
  </si>
  <si>
    <t>FK_AUSSTELLER_ID</t>
  </si>
  <si>
    <t>BelastungAbt3</t>
  </si>
  <si>
    <t>FK_BELASTUNGID</t>
  </si>
  <si>
    <t>FK_EINTRAGUNGSOBJEKTID</t>
  </si>
  <si>
    <t>FK_EINTRAGUNGSGRUNDLAGEID</t>
  </si>
  <si>
    <t>Notar</t>
  </si>
  <si>
    <t>AMTSTITELNOTAR</t>
  </si>
  <si>
    <t>Null</t>
  </si>
  <si>
    <t>Eintragung</t>
  </si>
  <si>
    <t>Mehrfachbelastung</t>
  </si>
  <si>
    <t>Vollstreckbarkeit</t>
  </si>
  <si>
    <t>Gesamthandsgemeinschaft</t>
  </si>
  <si>
    <t>JuristischePerson</t>
  </si>
  <si>
    <t>Nebenleistung</t>
  </si>
  <si>
    <t>Zins</t>
  </si>
  <si>
    <t>Teilflaechenbelastung</t>
  </si>
  <si>
    <t>BezGrundstueckFlurstueck</t>
  </si>
  <si>
    <t>Rangvorbehalt</t>
  </si>
  <si>
    <t>Rangvermerk</t>
  </si>
  <si>
    <t>BezRangvermerkBuchstelle</t>
  </si>
  <si>
    <t>BezRangvermEigentuemer</t>
  </si>
  <si>
    <t>BezRangvorbehEigentuemer</t>
  </si>
  <si>
    <t>BezRangvorbehBuchstelle</t>
  </si>
  <si>
    <t>BezBelAbt3Ausschl1179a</t>
  </si>
  <si>
    <t>BEARBEITER</t>
  </si>
  <si>
    <t>EINTRAGUNGSSTATUS</t>
  </si>
  <si>
    <t>BEARBEITUNGSDATUM</t>
  </si>
  <si>
    <t>SCOPE</t>
  </si>
  <si>
    <t>SICHTBARKEITWENNGELOESCHT</t>
  </si>
  <si>
    <t>AUSMIGRATION</t>
  </si>
  <si>
    <t>DATUMVORSYSTEM</t>
  </si>
  <si>
    <t>NEUEVERSION</t>
  </si>
  <si>
    <t>ISTGELOESCHT</t>
  </si>
  <si>
    <t>ART</t>
  </si>
  <si>
    <t>MIGRATIONSSTATUS</t>
  </si>
  <si>
    <t>WIEDERHERSTELLUNGSVERMERK</t>
  </si>
  <si>
    <t>LOESCHVERMERK</t>
  </si>
  <si>
    <t>ISTPLATZHALTER</t>
  </si>
  <si>
    <t>NEUNUMMERIERT</t>
  </si>
  <si>
    <t>EINSICHTSPERRE</t>
  </si>
  <si>
    <t>FLURNUMMER</t>
  </si>
  <si>
    <t>ZAEHLER</t>
  </si>
  <si>
    <t>NENNER</t>
  </si>
  <si>
    <t>FLURSTUECKSFOLGE</t>
  </si>
  <si>
    <t>LAGE</t>
  </si>
  <si>
    <t>GROESSE</t>
  </si>
  <si>
    <t>STRITTIGEGRENZE</t>
  </si>
  <si>
    <t>GEMEINDESCHLUESSEL</t>
  </si>
  <si>
    <t>RECHTSBEHELFSVERFAHREN</t>
  </si>
  <si>
    <t>QUELLSYSTEMID</t>
  </si>
  <si>
    <t>BEBUCHBAR</t>
  </si>
  <si>
    <t>ABWEICHENDERRECHTSZUSTAND</t>
  </si>
  <si>
    <t>FINANZAMTID</t>
  </si>
  <si>
    <t>BELASTUNGSFORM</t>
  </si>
  <si>
    <t>EXTERNEBELASTUNG</t>
  </si>
  <si>
    <t>LFDNUMMERVORSYSTEM</t>
  </si>
  <si>
    <t>BEDINGT</t>
  </si>
  <si>
    <t>BEFRISTET</t>
  </si>
  <si>
    <t>ABTRETUNGSAUSSCHLUSS</t>
  </si>
  <si>
    <t>ZUSATZ</t>
  </si>
  <si>
    <t>VORLOESCHKLAUSEL</t>
  </si>
  <si>
    <t>ISTVORMERKUNG</t>
  </si>
  <si>
    <t>VORMERKUNGSINHALT</t>
  </si>
  <si>
    <t>FK_MEHRFACHBELASTUNGID</t>
  </si>
  <si>
    <t>BETRAG</t>
  </si>
  <si>
    <t>WAEHRUNGBETRAG</t>
  </si>
  <si>
    <t>BETRAGP10ZVG</t>
  </si>
  <si>
    <t>WAEHRUNGBETRAGP10ZVG</t>
  </si>
  <si>
    <t>BUCHGRUNDSCHULD</t>
  </si>
  <si>
    <t>VERFUEGUNGSBESCHRAENKUNG</t>
  </si>
  <si>
    <t>AUSSCHLUSS1179A</t>
  </si>
  <si>
    <t>AUSSCHLUSS1179B</t>
  </si>
  <si>
    <t>AUFSCHIEBENDEBEDINGUNGP10ZVG</t>
  </si>
  <si>
    <t>BESONDERERGLAEUBIGER</t>
  </si>
  <si>
    <t>ZAHLUNGSBEDINGUNG</t>
  </si>
  <si>
    <t>RANG</t>
  </si>
  <si>
    <t>EINTRAGUNGSGRUND</t>
  </si>
  <si>
    <t>VOLLMIGRIERT</t>
  </si>
  <si>
    <t>WERT</t>
  </si>
  <si>
    <t>ANNOTATION</t>
  </si>
  <si>
    <t>AKTENZEICHEN</t>
  </si>
  <si>
    <t>BEMERKUNG</t>
  </si>
  <si>
    <t>FK_BELASTUNGABT3ID</t>
  </si>
  <si>
    <t>FK_GESAMTHANDSGEMEINSCHAFTID</t>
  </si>
  <si>
    <t>ANTEILZAEHLER</t>
  </si>
  <si>
    <t>ANTEILNENNER</t>
  </si>
  <si>
    <t>ANTEILSONSTIGES</t>
  </si>
  <si>
    <t>TEILBETRAG</t>
  </si>
  <si>
    <t>WAEHRUNG</t>
  </si>
  <si>
    <t>FK_MITEIGENTUMSANTEIL_ID</t>
  </si>
  <si>
    <t>FK_BUCHUNGSSTELLE_ID</t>
  </si>
  <si>
    <t>PERSONENID</t>
  </si>
  <si>
    <t>VERSIONSID</t>
  </si>
  <si>
    <t>FK_JURISTISCHEPERSONID</t>
  </si>
  <si>
    <t>VERHAELTNIS</t>
  </si>
  <si>
    <t>TITEL</t>
  </si>
  <si>
    <t>VORNAME</t>
  </si>
  <si>
    <t>NACHNAME</t>
  </si>
  <si>
    <t>RUFNAME</t>
  </si>
  <si>
    <t>NAMENSVORSATZ</t>
  </si>
  <si>
    <t>NAMENSZUSATZ</t>
  </si>
  <si>
    <t>GEBURTSNAME</t>
  </si>
  <si>
    <t>GEBURTSDATUM</t>
  </si>
  <si>
    <t>WOHNORT</t>
  </si>
  <si>
    <t>EINTRAGUNGSNAME</t>
  </si>
  <si>
    <t>BEZEICHNUNG</t>
  </si>
  <si>
    <t>RECHTSFORM</t>
  </si>
  <si>
    <t>RECHTSFORMZUSATZ</t>
  </si>
  <si>
    <t>ZUSATZP15IIGBV</t>
  </si>
  <si>
    <t>SITZ</t>
  </si>
  <si>
    <t>REGISTERGERICHT</t>
  </si>
  <si>
    <t>REGISTERART</t>
  </si>
  <si>
    <t>REGISTERNUMMER</t>
  </si>
  <si>
    <t>TYP</t>
  </si>
  <si>
    <t>DATUM</t>
  </si>
  <si>
    <t>AUSSTELLUNGSORT</t>
  </si>
  <si>
    <t>URKUNDENNUMMER</t>
  </si>
  <si>
    <t>DOKUMENTID</t>
  </si>
  <si>
    <t>VERFAHRENSNAME</t>
  </si>
  <si>
    <t>PROZENTSATZ</t>
  </si>
  <si>
    <t>BEZUGSBETRAG</t>
  </si>
  <si>
    <t>WAEHRUNGBEZUGSBETRAG</t>
  </si>
  <si>
    <t>INTERVALL</t>
  </si>
  <si>
    <t>BEGINN</t>
  </si>
  <si>
    <t>PROZENTPUNKTE</t>
  </si>
  <si>
    <t>ERWERBSGRUNDALTERNATIV</t>
  </si>
  <si>
    <t>BELASTUNGSART</t>
  </si>
  <si>
    <t>INHALT</t>
  </si>
  <si>
    <t>MEHRMALIGAUSNUTZBAR</t>
  </si>
  <si>
    <t>VORBEHALTSAUSNUTZUNG</t>
  </si>
  <si>
    <t>FK_ZIELBELASTUNG_ID</t>
  </si>
  <si>
    <t>FK_QUELLBELASTUNG_ID</t>
  </si>
  <si>
    <t>FK_RANGVORBEHALTID</t>
  </si>
  <si>
    <t>FK_RANGVERMERKID</t>
  </si>
  <si>
    <t>FK_VERZICHTENDESRECHT_ID</t>
  </si>
  <si>
    <t>FK_BEGUENSTIGTESRECHT_ID</t>
  </si>
  <si>
    <t>SheetName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</si>
  <si>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</si>
  <si>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</si>
  <si>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</si>
  <si>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</si>
  <si>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</si>
  <si>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</si>
  <si>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</si>
  <si>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</si>
  <si>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</si>
  <si>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</si>
  <si>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</si>
  <si>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</si>
  <si>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</si>
  <si>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</si>
  <si>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</si>
  <si>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Column</t>
  </si>
  <si>
    <t>newEoID</t>
  </si>
  <si>
    <t>Eintragungsobjekt.Eo</t>
  </si>
  <si>
    <t>ID_Wirtschaftsart</t>
  </si>
  <si>
    <t>Wirtschaftsart.wa</t>
  </si>
  <si>
    <t>ID_Flurstueck</t>
  </si>
  <si>
    <t>Flurstueck.fs</t>
  </si>
  <si>
    <t>For 1 up to to NR_FS</t>
  </si>
  <si>
    <t>Beziehung.BezBeteiligterErwerbsgrd</t>
  </si>
  <si>
    <t>Beziehung.BezBuchstelleEigentuemer</t>
  </si>
  <si>
    <t>For each ID_Eigentuemer()</t>
  </si>
  <si>
    <t>Beziehung.BezBuchstelleErwerbsgrund</t>
  </si>
  <si>
    <t>ID_Buchungsstelle</t>
  </si>
  <si>
    <t>Buchungsstelle.bs</t>
  </si>
  <si>
    <t>ID_Grundstueck</t>
  </si>
  <si>
    <t>Grundstueck.GS</t>
  </si>
  <si>
    <t>For 1 up to Buchungsstelle_Nr</t>
  </si>
  <si>
    <t>ID_Person</t>
  </si>
  <si>
    <t>Person.P</t>
  </si>
  <si>
    <t>JuristischePerson.JP</t>
  </si>
  <si>
    <t>NatuerlichePerson.NP</t>
  </si>
  <si>
    <t>ID_Eintragungsbeteiligter</t>
  </si>
  <si>
    <t>Eintragungsbeteiligter.EB</t>
  </si>
  <si>
    <t>ID_Eigentuemer</t>
  </si>
  <si>
    <t>Eigentuemer.E</t>
  </si>
  <si>
    <t>ID_Eigentuemer()</t>
  </si>
  <si>
    <t>GrundStueck_Eigentuemer</t>
  </si>
  <si>
    <t>ID_Erwerbsgrund</t>
  </si>
  <si>
    <t>Erwerbsgrund.E</t>
  </si>
  <si>
    <t>ID_Eintragung</t>
  </si>
  <si>
    <t>Eintragung.E</t>
  </si>
  <si>
    <t>ID_Grundbuchblatt</t>
  </si>
  <si>
    <t>Grundbuchblatt.GB</t>
  </si>
  <si>
    <t>Returns</t>
  </si>
  <si>
    <t>*</t>
  </si>
  <si>
    <t>is set from SheetName "GrundStueck"</t>
  </si>
  <si>
    <t>But: EoClassname "Buchungstelle"</t>
  </si>
  <si>
    <t>Value</t>
  </si>
  <si>
    <t>Max (ID_Eintragung) + 1</t>
  </si>
  <si>
    <t>Max (ID_Eintragungsobjekt) + 1</t>
  </si>
  <si>
    <t>Grundbuch_Einbuchen (OverView)</t>
  </si>
  <si>
    <t>EIN I</t>
  </si>
  <si>
    <t>Grundpfandrecht_Eintragen (OverView)</t>
  </si>
  <si>
    <t>Aussteller = true = "Notar"</t>
  </si>
  <si>
    <t>Aussteller = false = No "Notar"</t>
  </si>
  <si>
    <t>Eintragung.Ein</t>
  </si>
  <si>
    <t>Eintragungsgrundlage.EGL</t>
  </si>
  <si>
    <t>ID_Eintragungsgrundlage</t>
  </si>
  <si>
    <t>AMTSTITELNOTAR = "NULL"</t>
  </si>
  <si>
    <t>AMTSTITELNOTAR = "Notar"</t>
  </si>
  <si>
    <t>ID_Person_Notar</t>
  </si>
  <si>
    <t>Belastung.Abt3</t>
  </si>
  <si>
    <t>ID_Belastung</t>
  </si>
  <si>
    <t>Berechtigter.B</t>
  </si>
  <si>
    <t>ID_Berechtigter</t>
  </si>
  <si>
    <t>Grundbuchblatt [GBB]</t>
  </si>
  <si>
    <t>Grundstueck [GS]</t>
  </si>
  <si>
    <t>Buchungsstelle[BS]</t>
  </si>
  <si>
    <t>ID_GBB</t>
  </si>
  <si>
    <t>ID_GS</t>
  </si>
  <si>
    <t>Flurstueck [FS]</t>
  </si>
  <si>
    <t>Wirtschaftsart [WA]</t>
  </si>
  <si>
    <t>ID_FS</t>
  </si>
  <si>
    <t>ID_WA</t>
  </si>
  <si>
    <t>GBB_NUMMER</t>
  </si>
  <si>
    <t>ID_BS = ID_GS</t>
  </si>
  <si>
    <t>"Eigentümer"</t>
  </si>
  <si>
    <t>ANTEILNENNER = 3</t>
  </si>
  <si>
    <t>BezBeteiligterErwerbsgrund</t>
  </si>
  <si>
    <t>ID_BezBuchstelleEigentuemer</t>
  </si>
  <si>
    <t>ID_BezBeteiligterErwerbsgrund</t>
  </si>
  <si>
    <t>"Eigentuemer"</t>
  </si>
  <si>
    <t>"Berechtigter"</t>
  </si>
  <si>
    <t>else</t>
  </si>
  <si>
    <t>If NP &gt; 0 …</t>
  </si>
  <si>
    <t>If JP &gt; 0 …</t>
  </si>
  <si>
    <t>Work in progress</t>
  </si>
  <si>
    <t>Betrag = …€</t>
  </si>
  <si>
    <t>Beziehung.BezBelastungEigentuemer</t>
  </si>
  <si>
    <t>For each ID_Buchungsstelle()</t>
  </si>
  <si>
    <t>Beziehung.BezEintrObjEintrGrundl</t>
  </si>
  <si>
    <t>BelastungAbt2</t>
  </si>
  <si>
    <t>BERECHTIGUNGSVERHAELTNIS</t>
  </si>
  <si>
    <t>QUOTE</t>
  </si>
  <si>
    <t>BELASTUNGALLERMEA</t>
  </si>
  <si>
    <t>VERAEUSSERUNGSBESCHRAENKUNG</t>
  </si>
  <si>
    <t>DAUER</t>
  </si>
  <si>
    <t>ENDTERMIN</t>
  </si>
  <si>
    <t>FK_PERSON_ID</t>
  </si>
  <si>
    <t>FK_RANGVORBEHALT_ID</t>
  </si>
  <si>
    <t>BEZBLATTEINTRAGUNG</t>
  </si>
  <si>
    <t>FLURSTUECK</t>
  </si>
  <si>
    <t>FK_BELASTUNGABT2ID</t>
  </si>
  <si>
    <t>ERBBAURECHT</t>
  </si>
  <si>
    <t>AUSUEBUNGSBESCHRAENKUNG</t>
  </si>
  <si>
    <t>VERAEUSSERUNGSBESCHAUSNAHME</t>
  </si>
  <si>
    <t>BELASTUNGSBESCHRAENKUNG</t>
  </si>
  <si>
    <t>BELASTUNGSBESCHAUSNAHME</t>
  </si>
  <si>
    <t>ERBBAURECHTSAENDERUNG</t>
  </si>
  <si>
    <t>ANLAGEID</t>
  </si>
  <si>
    <t>ANLAGEZEIT</t>
  </si>
  <si>
    <t>MODIFIKATIONID</t>
  </si>
  <si>
    <t>MODIFIKATIONZEIT</t>
  </si>
  <si>
    <t>VERMERK</t>
  </si>
  <si>
    <t>FK_ERBBAURECHTID</t>
  </si>
  <si>
    <t>BezErbbaurechtEntlBuchst</t>
  </si>
  <si>
    <t>FK_ERBBAURECHTSAENDERUNGID</t>
  </si>
  <si>
    <t>BezErbbaurechtNachbBuchst</t>
  </si>
  <si>
    <t>Beziehung.BEZBLATTEINTRAGUNG</t>
  </si>
  <si>
    <t>Testname</t>
  </si>
  <si>
    <t>ID_FK 1</t>
  </si>
  <si>
    <t>ID_FK 2</t>
  </si>
  <si>
    <t>additional Info 1</t>
  </si>
  <si>
    <t>WIRKSAMKEITSVERMERK</t>
  </si>
  <si>
    <t>Comment</t>
  </si>
  <si>
    <t>Bez</t>
  </si>
  <si>
    <t>R</t>
  </si>
  <si>
    <t>Object</t>
  </si>
  <si>
    <t>SAVE</t>
  </si>
  <si>
    <t>abc</t>
  </si>
  <si>
    <t>Date</t>
  </si>
  <si>
    <t>Change</t>
  </si>
  <si>
    <t>BelastungAbt2 + BelastungAbt3 could be created at one time in step2 with separate LFDNUMMER</t>
  </si>
  <si>
    <t>LFDNUMMER for more than 1 Eigentuemer looks like 1.1; 1.2; 1.3</t>
  </si>
  <si>
    <t>Eintragungsgrundlage, Notar (…) and BezEintrObjEintrGrundl are only created, when checkbox Eintragungsgrundlage is true</t>
  </si>
  <si>
    <t>New Sheet "HistoryOfChanges"</t>
  </si>
  <si>
    <t>BelastungAbt2 + BelastungAbt3 don't need a separate checkbox for selection - this is done via checkbox "Belastung"</t>
  </si>
  <si>
    <t>Deletion: Page "Add option" (including checkbox "Mehrfachbelastung" and "Buchungsstelle add") no longer needed</t>
  </si>
  <si>
    <t>Deletion: Button "Add option" no longer needed</t>
  </si>
  <si>
    <t>Deletion: Checkbox "Vollstreckbarkeit" no longer needed</t>
  </si>
  <si>
    <t>Deletion: Checkbox "Anteilbelastung" no longer needed, but function AB_Click for Anteilbelastung = FALSE remains</t>
  </si>
  <si>
    <t>UserForm: Layout changed</t>
  </si>
  <si>
    <t>GhG: Process implementation</t>
  </si>
  <si>
    <t>For 1 up to (NP + JP)</t>
  </si>
  <si>
    <t>Abt1 is selected by default</t>
  </si>
  <si>
    <t>Additional Options for “Belastung” are only displayed after selection</t>
  </si>
  <si>
    <t>"Belastung": “Zins” &amp; “Nebenleistung” are displayed only when “Abt3” &gt; 0</t>
  </si>
  <si>
    <t xml:space="preserve"> “Gesamthandsgemeinschaft” (GhG): Process is implementated</t>
  </si>
  <si>
    <t>Grundbuch_Einbuchen</t>
  </si>
  <si>
    <t>Beziehung.Bezblatteintragung</t>
  </si>
  <si>
    <t>Eintragungsobjekt.EO</t>
  </si>
  <si>
    <t>d</t>
  </si>
  <si>
    <t>main</t>
  </si>
  <si>
    <t>NP</t>
  </si>
  <si>
    <t>JP</t>
  </si>
  <si>
    <t>Eigentuemer_Dimension()</t>
  </si>
  <si>
    <t>GhG</t>
  </si>
  <si>
    <t>GbR</t>
  </si>
  <si>
    <t>JP/NP</t>
  </si>
  <si>
    <t>Max_Eigentuemer =</t>
  </si>
  <si>
    <t>Main_Eigentuemer</t>
  </si>
  <si>
    <t>+ GhG(Value) * JP2</t>
  </si>
  <si>
    <t>+ GhG(Value) * NP2</t>
  </si>
  <si>
    <t>+ GbR(Value) * NP2</t>
  </si>
  <si>
    <t>+ GbR(Value) * JP2</t>
  </si>
  <si>
    <t>Example:</t>
  </si>
  <si>
    <t>Main_Eigentuemer =</t>
  </si>
  <si>
    <t>Participants</t>
  </si>
  <si>
    <t>ID_GbR</t>
  </si>
  <si>
    <t>max_Eigentuemer</t>
  </si>
  <si>
    <t>…</t>
  </si>
  <si>
    <t>GhG * NP</t>
  </si>
  <si>
    <t>GhG * JP</t>
  </si>
  <si>
    <t>GbR * NP</t>
  </si>
  <si>
    <t>GbR * JP</t>
  </si>
  <si>
    <t>ID_GhG</t>
  </si>
  <si>
    <t xml:space="preserve">Add-Button is enabled when "Abt1" is selected </t>
  </si>
  <si>
    <t>JuristischePerson: REGISTERNUMMER = "HRA " &amp; max of REGISTERNUMMER + 1</t>
  </si>
  <si>
    <t>No Entry in BezBuchstelleEigentuemer for GhG/GbR Additional Participants</t>
  </si>
  <si>
    <t>1 to idx_Ident_Main_Participant</t>
  </si>
  <si>
    <t>1 = Main</t>
  </si>
  <si>
    <t>2 = Participant</t>
  </si>
  <si>
    <t>NP/JP (Main)</t>
  </si>
  <si>
    <t>GhG (Participant)</t>
  </si>
  <si>
    <t>GhG (Main)</t>
  </si>
  <si>
    <t>Buchungsstelle.BS</t>
  </si>
  <si>
    <t>For 1 up to BuchungsstelleNr</t>
  </si>
  <si>
    <t>For 1 up to Flurstueck_NR</t>
  </si>
  <si>
    <t>Flurstueck.FS</t>
  </si>
  <si>
    <t>Wirtschaftsart.WA</t>
  </si>
  <si>
    <t>Bezblatteintragung</t>
  </si>
  <si>
    <t>Result (ID)</t>
  </si>
  <si>
    <t>GhG.GG</t>
  </si>
  <si>
    <t>Eigentuemer.EG</t>
  </si>
  <si>
    <t>For each ID_Eigentuemer() &lt;&gt; Participant</t>
  </si>
  <si>
    <t>Process</t>
  </si>
  <si>
    <t>Ident</t>
  </si>
  <si>
    <t>1 = internal Default when NP/JP selected</t>
  </si>
  <si>
    <t>GbR (Main)</t>
  </si>
  <si>
    <t>GhR.G</t>
  </si>
  <si>
    <t>For each ID_Eigentuemer() (Main)</t>
  </si>
  <si>
    <t xml:space="preserve"> “Gesellschaft buergerlichen Rechts” (GbR): Process is implementated</t>
  </si>
  <si>
    <t>No entry in "Eigentuemer" when GbR Additional Participants</t>
  </si>
  <si>
    <t>Start with… is implemented in frame "Eigentuemer"</t>
  </si>
  <si>
    <t>FK1</t>
  </si>
  <si>
    <t>FK2</t>
  </si>
  <si>
    <t>For d = 1 to 3 (=GdR)</t>
  </si>
  <si>
    <t>BezBuchstelleErwerbsgrund</t>
  </si>
  <si>
    <t>If d = GhG</t>
  </si>
  <si>
    <t>If d = GbR</t>
  </si>
  <si>
    <t>Do while Dimension(d) &gt; 0</t>
  </si>
  <si>
    <t>Do while Dimension(d,NP/JP) &gt; 0</t>
  </si>
  <si>
    <t>Dimension(d,NP/JP) - 1</t>
  </si>
  <si>
    <t>Dimension(d) - 1</t>
  </si>
  <si>
    <t>Ident = Main (=1)</t>
  </si>
  <si>
    <t>If GhG/GbR then Ident = Participant (=2)</t>
  </si>
  <si>
    <t>If NP</t>
  </si>
  <si>
    <t>If JP</t>
  </si>
  <si>
    <t>IF not GbR</t>
  </si>
  <si>
    <t xml:space="preserve">     But: Only GhG/GbR and not both of them!</t>
  </si>
  <si>
    <t>Workaround… "Person": PERSONENID = max( PERSONENID) + 1</t>
  </si>
  <si>
    <t>Function</t>
  </si>
  <si>
    <t>Bamberg</t>
  </si>
  <si>
    <t>München</t>
  </si>
  <si>
    <t>Nürnberg</t>
  </si>
  <si>
    <t>Rosenberg</t>
  </si>
  <si>
    <t>Fürth</t>
  </si>
  <si>
    <t>Aschaffenburg</t>
  </si>
  <si>
    <t>Gesellschaft bürgerlichen Rechts</t>
  </si>
  <si>
    <t>Neuer</t>
  </si>
  <si>
    <t>Table BEZBLATTEINTRAGUNG should have ID inherited from ID Eintragungsobjekt</t>
  </si>
  <si>
    <t>Dinglichberechtigter</t>
  </si>
  <si>
    <t>GEMARKUNGSSCHLUESSEL</t>
  </si>
  <si>
    <t>FK_GRUNDBUCHVERTRETERID</t>
  </si>
  <si>
    <t>Table Eintragungsbeteiligter column F ("FK_BELASTUNGABT3ID") is deleted. Columns G&amp;H are shifted</t>
  </si>
  <si>
    <t>Now, protocol entry for BEZBLATTEINTRAGUNG is handled like all others</t>
  </si>
  <si>
    <t>Table BelastungAbt2: Now, INHALT instead of ART is overwritten with "Wegerecht"</t>
  </si>
  <si>
    <t>FK_VORMERKUNGID</t>
  </si>
  <si>
    <t>FK_WIDERSPRUCHBELASTUNGID</t>
  </si>
  <si>
    <t>FK_WIDERSPRUCHID</t>
  </si>
  <si>
    <t>ISTTEILWEISE</t>
  </si>
  <si>
    <t>WIDERSPRUCH</t>
  </si>
  <si>
    <t>ABTEILUNG</t>
  </si>
  <si>
    <t>GRUNDLAGE</t>
  </si>
  <si>
    <t>GEGENSTAND</t>
  </si>
  <si>
    <t>WIDERSPRUCHBELASTUNG</t>
  </si>
  <si>
    <t>BEZWIDERSPRUCHEIGENTUEMER</t>
  </si>
  <si>
    <t>BEZBUCHSTELLEWIDERSPRUCH</t>
  </si>
  <si>
    <t>P</t>
  </si>
  <si>
    <t>Table Belastung: New columns BETRAG + WAEHRUNG are filled when BelastungAbt3. For BelastungAbt2 values = NULL</t>
  </si>
  <si>
    <t>Table BelastungAbt3: Column BETRAG is deleted</t>
  </si>
  <si>
    <t>Table Eintragung: New column EINTRAGUNGSSTATUS is filled with EO-Status from input in upper letter</t>
  </si>
  <si>
    <t>Protocol: EO-Status ist listed for entry EINTRAGUNG</t>
  </si>
  <si>
    <t>KompositAenderungsobjekt</t>
  </si>
  <si>
    <t>Objekt</t>
  </si>
  <si>
    <t>Table: BezBeteiligterErwerbsgrd is deleted</t>
  </si>
  <si>
    <t>New Table "KompositAenderungsobjekt"</t>
  </si>
  <si>
    <t>ID_Erwerbsgrund = max(ID_KompositAenderungsobjekt) + 1. And a new entry in table KompositAenderungsobjekt is done also</t>
  </si>
  <si>
    <t>Table Flurstück: New Column GEMARKUNGSSCHLÜSSEL assigned via GEMARKUNG</t>
  </si>
  <si>
    <t>New Table: AENDERUNGSOBJEKT =&gt; replacement of old associacion between Eintragungsbeteilgter and Erwerbsgrund</t>
  </si>
  <si>
    <t>FREIGABEDATUM</t>
  </si>
  <si>
    <t>AENDERUNGSOBJEKT</t>
  </si>
  <si>
    <t>GEAENDERTEKLASSE</t>
  </si>
  <si>
    <t>GEAENDERTEEIGENSCHAFT</t>
  </si>
  <si>
    <t>AENDERUNGSART</t>
  </si>
  <si>
    <t>EINTRAGUNGSOBJEKTID</t>
  </si>
  <si>
    <t>FK_KOMPOSITAENDERUNGSOBJEKTID</t>
  </si>
  <si>
    <t>GhG: in table Eigentuemer there should be only entries for main and no for participant</t>
  </si>
  <si>
    <t>AENDERUNGSOBJEKT.ao</t>
  </si>
  <si>
    <t>Aenderungsvormerkung</t>
  </si>
  <si>
    <t>ModificationNotice</t>
  </si>
  <si>
    <t>Encumbrance</t>
  </si>
  <si>
    <t>Bezugsfragment</t>
  </si>
  <si>
    <t>ReferenceFragment</t>
  </si>
  <si>
    <t>BookingPosition</t>
  </si>
  <si>
    <t>DinglichBerechtigter</t>
  </si>
  <si>
    <t>EntitledPartyInRem</t>
  </si>
  <si>
    <t>RegisterEntryParticipant</t>
  </si>
  <si>
    <t>RegistrationBasis</t>
  </si>
  <si>
    <t>Eintragungssachverhalt</t>
  </si>
  <si>
    <t>MigrationContext</t>
  </si>
  <si>
    <t>Parcel</t>
  </si>
  <si>
    <t>Fragment</t>
  </si>
  <si>
    <t>Fragmentfundstelle</t>
  </si>
  <si>
    <t>FragmentFinding</t>
  </si>
  <si>
    <t>LandRegisterSheet</t>
  </si>
  <si>
    <t>GrundbuchblattVorsystem</t>
  </si>
  <si>
    <t>LegacyRegisterSheet</t>
  </si>
  <si>
    <t>Grundbuchblattseite</t>
  </si>
  <si>
    <t>PageOfRegisterSheet</t>
  </si>
  <si>
    <t>HistorischeEintragung</t>
  </si>
  <si>
    <t>HistoricalRegisterEntry</t>
  </si>
  <si>
    <t>MultipleEncumbrance</t>
  </si>
  <si>
    <t>Nacherbe</t>
  </si>
  <si>
    <t>SubsequentHeir</t>
  </si>
  <si>
    <t>Nacherbfolge</t>
  </si>
  <si>
    <t>SubsequentSuccession</t>
  </si>
  <si>
    <t>AncillaryService</t>
  </si>
  <si>
    <t>NiessbrauchBerechtigter</t>
  </si>
  <si>
    <t>EntitledPartyUsufruct</t>
  </si>
  <si>
    <t>Pfaendung</t>
  </si>
  <si>
    <t>Seizure</t>
  </si>
  <si>
    <t xml:space="preserve">PriorityNote </t>
  </si>
  <si>
    <t xml:space="preserve">PriorityReservation </t>
  </si>
  <si>
    <t xml:space="preserve">PartialAreaEncumbrance </t>
  </si>
  <si>
    <t>VerfBeschrBerechtigter</t>
  </si>
  <si>
    <t xml:space="preserve">EntitledPartyDisposalLimitation </t>
  </si>
  <si>
    <t xml:space="preserve">Enforceability </t>
  </si>
  <si>
    <t>Sondereigentum</t>
  </si>
  <si>
    <t xml:space="preserve">SpecialProperty </t>
  </si>
  <si>
    <t>Sondernutzungsrecht</t>
  </si>
  <si>
    <t xml:space="preserve">RightOfSpecialUse </t>
  </si>
  <si>
    <t>WEGSerie</t>
  </si>
  <si>
    <t xml:space="preserve">CondominiumSeries </t>
  </si>
  <si>
    <t>Widerspruch</t>
  </si>
  <si>
    <t xml:space="preserve">Objection </t>
  </si>
  <si>
    <t>WiderspruchBelastung</t>
  </si>
  <si>
    <t xml:space="preserve">ObjectionEncumbrance </t>
  </si>
  <si>
    <t>Wirksamkeitsvermerk</t>
  </si>
  <si>
    <t xml:space="preserve">EffectivenessNote </t>
  </si>
  <si>
    <t xml:space="preserve">EconomicKindAssignment </t>
  </si>
  <si>
    <t xml:space="preserve">InterestRate </t>
  </si>
  <si>
    <t xml:space="preserve">AssocBookingPositionEncumbrance </t>
  </si>
  <si>
    <t xml:space="preserve">AssocBookingPositionOwner </t>
  </si>
  <si>
    <t xml:space="preserve">AssocBookingPositionAcquisitionReason </t>
  </si>
  <si>
    <t>BezBuchstelleWiderspruch</t>
  </si>
  <si>
    <t xml:space="preserve">AssocBookingPositionObjection </t>
  </si>
  <si>
    <t xml:space="preserve">AssocEncumbranceOwner </t>
  </si>
  <si>
    <t xml:space="preserve">AssocPriorityNoteBookingPosition </t>
  </si>
  <si>
    <t xml:space="preserve">AssocPriorityNoteOwner </t>
  </si>
  <si>
    <t xml:space="preserve">AssocPriorityReservationBookingPosition </t>
  </si>
  <si>
    <t xml:space="preserve">AssocPriorityReservationOwner </t>
  </si>
  <si>
    <t>BezWiderspruchEigentuemer</t>
  </si>
  <si>
    <t>AssocObjectionOwner</t>
  </si>
  <si>
    <t>BezWirkVermerkBuchstelle</t>
  </si>
  <si>
    <t xml:space="preserve">AssocEffectivenessNoteBookingPosition </t>
  </si>
  <si>
    <t>BezWirkVermEigentuemer</t>
  </si>
  <si>
    <t>AssocEffectivenessNoteOwner</t>
  </si>
  <si>
    <t>AssocEncumbranceDept3Exclusion1179a</t>
  </si>
  <si>
    <t>AssocRealEstateParcel</t>
  </si>
  <si>
    <t>BezMehrfBelastungBlatt</t>
  </si>
  <si>
    <t>AssocMultEncumbranceRegisterSheet</t>
  </si>
  <si>
    <t>BezBlattEintragung</t>
  </si>
  <si>
    <t>AssocRegisterSheetRegisterEntry</t>
  </si>
  <si>
    <t>OBJEKTKLASSE</t>
  </si>
  <si>
    <t>GRUNDBUCHBLATTID</t>
  </si>
  <si>
    <t>HAUPTOBJEKTID</t>
  </si>
  <si>
    <t>REIHENFOLGE</t>
  </si>
  <si>
    <t>KOMPOSITAENDERUNGSOBJEKT_ART</t>
  </si>
  <si>
    <t>GRUND</t>
  </si>
  <si>
    <t>FK_HAUPTBUCHUNGSSTELLE_ID</t>
  </si>
  <si>
    <t>FLURSTUECKE</t>
  </si>
  <si>
    <t>SONDERNUTZUNGSRECHTE</t>
  </si>
  <si>
    <t>SONDEREIGENTUM</t>
  </si>
  <si>
    <t>PFAENDUNG</t>
  </si>
  <si>
    <t>KOSTEN</t>
  </si>
  <si>
    <t>WAEHRUNGKOSTEN</t>
  </si>
  <si>
    <t>NACHERBFOLGE</t>
  </si>
  <si>
    <t>EINTRITTSBEDINGUNG</t>
  </si>
  <si>
    <t>NACHERBE</t>
  </si>
  <si>
    <t>FK_NACHERBFOLGEID</t>
  </si>
  <si>
    <t>FK_NACHNACHERBFOLGEID</t>
  </si>
  <si>
    <t>ALLEVERSIONENSICHTBAR</t>
  </si>
  <si>
    <t>PERSON_ART</t>
  </si>
  <si>
    <t>EINTRAGUNGSBETEILIGTER_ART</t>
  </si>
  <si>
    <t>FK_VERFBESCHRBERECHTIGTERID</t>
  </si>
  <si>
    <t>HATAUFRECHTVERZICHTET</t>
  </si>
  <si>
    <t>FK_AENDERUNGSVORMERKUNGID</t>
  </si>
  <si>
    <t>FK_NIESSBRAUCHBERECHTIGTERID</t>
  </si>
  <si>
    <t>BELASTUNG_ABT</t>
  </si>
  <si>
    <t>FK_PFAENDUNGID</t>
  </si>
  <si>
    <t>ISTFIKTIV</t>
  </si>
  <si>
    <t>FIKTIVESBLATTKENNZEICHEN</t>
  </si>
  <si>
    <t>FIKTIVESBLATTID</t>
  </si>
  <si>
    <t>FIKTIVEBUCHUNGSSTELLEID</t>
  </si>
  <si>
    <t>EINTRAGUNGSVERMERK</t>
  </si>
  <si>
    <t>BUCHUNGSTELLE_ART</t>
  </si>
  <si>
    <t>SONDERNUTZUNGSRECHT</t>
  </si>
  <si>
    <t>AENDERUNGSVERMERK</t>
  </si>
  <si>
    <t>ERSTMALIGEEINTRAGUNG</t>
  </si>
  <si>
    <t>FK_WEGSERIEID</t>
  </si>
  <si>
    <t>SICHTBAR</t>
  </si>
  <si>
    <t>ORDNUNGSNUMMER</t>
  </si>
  <si>
    <t>BEZMEHRFBELASTUNGBLATT</t>
  </si>
  <si>
    <t>EINTRAGUNGOBJEKTZUORDNUNG</t>
  </si>
  <si>
    <t>EINTRAGUNGSID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</si>
  <si>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</si>
  <si>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</si>
  <si>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</si>
  <si>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</si>
  <si>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</si>
  <si>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</si>
  <si>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</si>
  <si>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</si>
  <si>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</si>
  <si>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</si>
  <si>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</si>
  <si>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</si>
  <si>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</si>
  <si>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</si>
  <si>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</si>
  <si>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</si>
  <si>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</si>
  <si>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</si>
  <si>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AK</t>
  </si>
  <si>
    <t>AL</t>
  </si>
  <si>
    <t>AM</t>
  </si>
  <si>
    <t>AN</t>
  </si>
  <si>
    <t>AJ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</si>
  <si>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</si>
  <si>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</si>
  <si>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</si>
  <si>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</si>
  <si>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</si>
  <si>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</si>
  <si>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</si>
  <si>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</si>
  <si>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</si>
  <si>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</si>
  <si>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</si>
  <si>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</si>
  <si>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Old</t>
  </si>
  <si>
    <t>Actual</t>
  </si>
  <si>
    <t>BEARBEITERSAFEID</t>
  </si>
  <si>
    <t>FK_EINTRAGUNG_ID</t>
  </si>
  <si>
    <t>WIRTSCHAFTSARTEN</t>
  </si>
  <si>
    <t>FK_ROOTELEMENT_ID</t>
  </si>
  <si>
    <t>AENDERUNGSVORMERKUNG</t>
  </si>
  <si>
    <t>Table no longer needed : AENDERUNGSOBJEKT</t>
  </si>
  <si>
    <t>Table no longer needed : BelastungAbt2</t>
  </si>
  <si>
    <t>Table no longer needed : BelastungAbt3</t>
  </si>
  <si>
    <t>Table no longer needed : Berechtigter</t>
  </si>
  <si>
    <t>Table no longer needed : BezEintrObjEintrGrundl</t>
  </si>
  <si>
    <t>Table no longer needed : Eigentuemer</t>
  </si>
  <si>
    <t>Table no longer needed : Eintragungsobjekt</t>
  </si>
  <si>
    <t>Table no longer needed : Erwerbsgrund</t>
  </si>
  <si>
    <t>Table no longer needed : Gesamthandsgemeinschaft</t>
  </si>
  <si>
    <t>Table no longer needed : Grundstueck</t>
  </si>
  <si>
    <t>Table no longer needed : JuristischePerson</t>
  </si>
  <si>
    <t>Table no longer needed : NatuerlichePerson</t>
  </si>
  <si>
    <t>Table no longer needed : WirtschaftsartZuordnung</t>
  </si>
  <si>
    <t>Table reactivated : AENDERUNGSOBJEKT</t>
  </si>
  <si>
    <t>Table Belastung includes infos from BelastungAbt2/BelastungAbt3</t>
  </si>
  <si>
    <t>Table Person includes infos from JuristischePerson/NatuerlichePerson/Gesamthandsgemeinschaft</t>
  </si>
  <si>
    <t>New definitions for most of all tables</t>
  </si>
  <si>
    <t>FK_EINTRAGUNGID &amp; EINTRAGUNGSSTATUS inserted in most of all tables</t>
  </si>
  <si>
    <t>New table EINTRAGUNGOBJEKTZUORDNUNG</t>
  </si>
  <si>
    <t>Protocol: Changed header "Eintragungsobjekt" is only "Objekt", now. Because of changed process for ID_Erwerbsgrund</t>
  </si>
  <si>
    <t>additional Info 2</t>
  </si>
  <si>
    <t>additional Info 3</t>
  </si>
  <si>
    <t>Eintragungobjektzuordnung</t>
  </si>
  <si>
    <t>PrepareFor_NewEoEntry</t>
  </si>
  <si>
    <t>NewEoID</t>
  </si>
  <si>
    <t>Next Step</t>
  </si>
  <si>
    <t>MaxEntry + 1</t>
  </si>
  <si>
    <t>=ID_Erwerbsgrund</t>
  </si>
  <si>
    <t>s</t>
  </si>
  <si>
    <t>If-Condition</t>
  </si>
  <si>
    <t>r</t>
  </si>
  <si>
    <t>:</t>
  </si>
  <si>
    <t>Update</t>
  </si>
  <si>
    <t>get_MaxEntry("Sheet")</t>
  </si>
  <si>
    <t>a</t>
  </si>
  <si>
    <t>i</t>
  </si>
  <si>
    <t>= ANTEILNENNER</t>
  </si>
  <si>
    <t>GhG#</t>
  </si>
  <si>
    <t>GbR#</t>
  </si>
  <si>
    <t>NP1#</t>
  </si>
  <si>
    <t>JP1#</t>
  </si>
  <si>
    <t>NP2#</t>
  </si>
  <si>
    <t>JP2#</t>
  </si>
  <si>
    <t>NP2# &gt; 0</t>
  </si>
  <si>
    <t>for each NP2#</t>
  </si>
  <si>
    <t>JP2# &gt; 0</t>
  </si>
  <si>
    <t>for each JP2#</t>
  </si>
  <si>
    <r>
      <rPr>
        <b/>
        <sz val="8"/>
        <color rgb="FF000000"/>
        <rFont val="Calibri"/>
        <family val="2"/>
      </rPr>
      <t>Eintragungsbeteiligter</t>
    </r>
    <r>
      <rPr>
        <sz val="8"/>
        <color rgb="FF000000"/>
        <rFont val="Calibri"/>
        <family val="2"/>
      </rPr>
      <t xml:space="preserve"> "Eigentuemer"</t>
    </r>
  </si>
  <si>
    <r>
      <rPr>
        <b/>
        <sz val="8"/>
        <color rgb="FF000000"/>
        <rFont val="Calibri"/>
        <family val="2"/>
      </rPr>
      <t>Eintragungsbeteiligter</t>
    </r>
    <r>
      <rPr>
        <sz val="8"/>
        <color rgb="FF000000"/>
        <rFont val="Calibri"/>
        <family val="2"/>
      </rPr>
      <t xml:space="preserve"> "EINTRAGUNGSBETEILIGTER"</t>
    </r>
  </si>
  <si>
    <t>Anteilnenner = Sum(Main)</t>
  </si>
  <si>
    <t>Init:</t>
  </si>
  <si>
    <t xml:space="preserve">               *Special Coloring </t>
  </si>
  <si>
    <t>Aenderungsobjekt</t>
  </si>
  <si>
    <t xml:space="preserve">JuristischePerson </t>
  </si>
  <si>
    <t>"Sparkasse/Großbank"</t>
  </si>
  <si>
    <t>Objektklasse</t>
  </si>
  <si>
    <t>FK_GESAMTHANDS
GEMEINSCHAFTID = ID_GhG</t>
  </si>
  <si>
    <t>ANTEILNENNER = Sum(Main)</t>
  </si>
  <si>
    <t>FK_ROOTELEMENT_ID = ID_GhG</t>
  </si>
  <si>
    <t>Pgm-temp table</t>
  </si>
  <si>
    <t>here Participant</t>
  </si>
  <si>
    <t>only Main-Eigentuemer</t>
  </si>
  <si>
    <t>"als Gesamtberechtigte gemäß § 428 BGB"</t>
  </si>
  <si>
    <t xml:space="preserve">"Gesellschaft bürgerlichen Rechts "  &amp; Ort </t>
  </si>
  <si>
    <t xml:space="preserve">"Sparkasse/"Großbank"
</t>
  </si>
  <si>
    <t>FK_JURISTISCHEPERSONID = ID_GbR</t>
  </si>
  <si>
    <t>ChooseRandom…</t>
  </si>
  <si>
    <t>Call</t>
  </si>
  <si>
    <t>Return</t>
  </si>
  <si>
    <t>Insert</t>
  </si>
  <si>
    <t>Grundbuch_Einbuchen [Schema]</t>
  </si>
  <si>
    <t>only GbR or GhG</t>
  </si>
  <si>
    <t>can be &gt; 0</t>
  </si>
  <si>
    <t>Info</t>
  </si>
  <si>
    <t>ID_Eigentuemer(*,1) =</t>
  </si>
  <si>
    <t>Here Main-Eigentuemer</t>
  </si>
  <si>
    <t>GbR (Participant): no entry ID_Eigentuemer needed</t>
  </si>
  <si>
    <t>1 to max_Eigentuemer</t>
  </si>
  <si>
    <t>ID_Eigentuemer(*,1) = 0</t>
  </si>
  <si>
    <t>For 1 up to Max_Eigentuemer</t>
  </si>
  <si>
    <t>Objekt/SheetName</t>
  </si>
  <si>
    <t>Person ("JURISTISCHEPERSON")</t>
  </si>
  <si>
    <t>FK_PERSON_ID = ID_GbR</t>
  </si>
  <si>
    <t>FK_PERSON_ID = ID_GhG</t>
  </si>
  <si>
    <t>Person ("NATUERLICHEPERSON")</t>
  </si>
  <si>
    <t>Person ("GESAMTHANDSGEMEINSCHAFT")</t>
  </si>
  <si>
    <t xml:space="preserve">ID_GhG &gt; 0 </t>
  </si>
  <si>
    <t>And ID_GhG = ID_Person</t>
  </si>
  <si>
    <t>= Main</t>
  </si>
  <si>
    <t xml:space="preserve">ID_GbR &gt; 0 </t>
  </si>
  <si>
    <t>And ID_GbR = ID_Person</t>
  </si>
  <si>
    <t>=Main</t>
  </si>
  <si>
    <t>For 1 up to Buchungstelle#</t>
  </si>
  <si>
    <t>ID_Eigentuemer() = Main</t>
  </si>
  <si>
    <t>For 1 up to Flurstueck#</t>
  </si>
  <si>
    <t>ID_Eintragung !</t>
  </si>
  <si>
    <t>Grundpfandrecht_Eintragen [Schema]</t>
  </si>
  <si>
    <t>(Abt2 + Abt3)  = 0 &amp; EINTR = False</t>
  </si>
  <si>
    <t>get_LastEntry("Sheet")</t>
  </si>
  <si>
    <t>For i = 1 To (Abt2 + Abt3)</t>
  </si>
  <si>
    <t>If Abt2 &gt; 0</t>
  </si>
  <si>
    <t>Belastung.Abt2</t>
  </si>
  <si>
    <t>Abt2 - 1</t>
  </si>
  <si>
    <t>Belastung("BelastungAbt3")</t>
  </si>
  <si>
    <t>Belastung("BelastungAbt2")</t>
  </si>
  <si>
    <t>If Abt3 &gt; 0</t>
  </si>
  <si>
    <t>Abt3 - 1</t>
  </si>
  <si>
    <t>ChooseRandom_Betrag_InThousands</t>
  </si>
  <si>
    <t>"Grundschuld"</t>
  </si>
  <si>
    <t>"Wegerecht"</t>
  </si>
  <si>
    <t xml:space="preserve"> "Grunddienstbarkeit"</t>
  </si>
  <si>
    <t>Bewilligung/Urteil/Ersuchen</t>
  </si>
  <si>
    <t>JuristischePerson (!)</t>
  </si>
  <si>
    <t xml:space="preserve"> "Gesellschaft bürgerlichen Rechts " &amp; Ort </t>
  </si>
  <si>
    <t>"JuristischePerson"</t>
  </si>
  <si>
    <r>
      <rPr>
        <b/>
        <sz val="8"/>
        <color rgb="FF000000"/>
        <rFont val="Calibri"/>
        <family val="2"/>
      </rPr>
      <t>Eintragungsbeteiligter</t>
    </r>
    <r>
      <rPr>
        <sz val="8"/>
        <color rgb="FF000000"/>
        <rFont val="Calibri"/>
        <family val="2"/>
      </rPr>
      <t xml:space="preserve"> "Berechtigter"</t>
    </r>
  </si>
  <si>
    <t>Person_ID = ID_GbR</t>
  </si>
  <si>
    <t>("GbR Participant")</t>
  </si>
  <si>
    <t>For i = 1 To 2</t>
  </si>
  <si>
    <t xml:space="preserve">Eintragungsgrundlage = true </t>
  </si>
  <si>
    <t>next i</t>
  </si>
  <si>
    <t>Next NP1#</t>
  </si>
  <si>
    <t>Next JP1#</t>
  </si>
  <si>
    <t>Next GhG# (Main)</t>
  </si>
  <si>
    <t>Next GbR# (Main)</t>
  </si>
  <si>
    <t>next NP2#</t>
  </si>
  <si>
    <t>next JP2#</t>
  </si>
  <si>
    <t>ID_Person_Berechtigter</t>
  </si>
  <si>
    <t>Case Person_Start…</t>
  </si>
  <si>
    <t>"NP" ?</t>
  </si>
  <si>
    <t>"JP" ?</t>
  </si>
  <si>
    <t>"GbR" ?</t>
  </si>
  <si>
    <t xml:space="preserve"> "GhG" ?</t>
  </si>
  <si>
    <t>for each JP1#(Main)</t>
  </si>
  <si>
    <t>for each NP1#(Main)</t>
  </si>
  <si>
    <t>Person_ID = ID…Berechtigter</t>
  </si>
  <si>
    <t>...End Case</t>
  </si>
  <si>
    <t>for each GhG# (Main)</t>
  </si>
  <si>
    <t>for each GbR# (Main)</t>
  </si>
  <si>
    <t>Eintragungsgrundlage = true ?</t>
  </si>
  <si>
    <t>WEGSERIE</t>
  </si>
  <si>
    <t>Grundpfandrechtsbrief</t>
  </si>
  <si>
    <t>ParteiKraftAmtes</t>
  </si>
  <si>
    <t>Zustellungsbevollmaechtig</t>
  </si>
  <si>
    <t>GRUNDBUCHBLATTVORSYSTEM</t>
  </si>
  <si>
    <t>BEZBRIEFBELASTUNG</t>
  </si>
  <si>
    <t>LAGEBEZEICHNUNG</t>
  </si>
  <si>
    <t>HOF</t>
  </si>
  <si>
    <t>WIRTSCHAFTSARTZUORDNUNG</t>
  </si>
  <si>
    <t xml:space="preserve">ANWENDUNGSFALLNUMMER </t>
  </si>
  <si>
    <t xml:space="preserve">AENDERUNGSVERMERK </t>
  </si>
  <si>
    <t xml:space="preserve">ERWERBSANTEILZAEHLER </t>
  </si>
  <si>
    <t xml:space="preserve">ERWERBSANTEILNENNER </t>
  </si>
  <si>
    <t xml:space="preserve">ERWERBSANTEILSONSTIGES </t>
  </si>
  <si>
    <t>SCOPESERIALISIERT</t>
  </si>
  <si>
    <t>FK_GRUNDBUCHBLATTVORSYSTEMID</t>
  </si>
  <si>
    <t>EXTERNEBELASTUNGENSERIALISIERT</t>
  </si>
  <si>
    <t xml:space="preserve">SCOPESERIALISIERT </t>
  </si>
  <si>
    <t>BESCHREIBUNG</t>
  </si>
  <si>
    <t>ANTEILZAEHLERBERECHTIGTER</t>
  </si>
  <si>
    <t>ANTEILZAEHLEREIGENTUEMER</t>
  </si>
  <si>
    <t xml:space="preserve">ANTEILNENNERBERECHTIGTER </t>
  </si>
  <si>
    <t>ANTEILNENNEREIGENTUEMER</t>
  </si>
  <si>
    <t>ANTEILSONSTIGESBERECHTIGTER</t>
  </si>
  <si>
    <t>ANTEILSONSTIGESEIGENTUEMER</t>
  </si>
  <si>
    <t xml:space="preserve">FK_HOFID </t>
  </si>
  <si>
    <t>BELASTUNG_ART</t>
  </si>
  <si>
    <t xml:space="preserve">ERBBAURECHTSART </t>
  </si>
  <si>
    <t xml:space="preserve">VERAEUSSERUNGSBESCHRAENKUNGEBR </t>
  </si>
  <si>
    <t xml:space="preserve">VERAEUSSERUNGSBESCHAUSNAHMEEBR </t>
  </si>
  <si>
    <t xml:space="preserve">ANTEILZAEHLERMEP3 </t>
  </si>
  <si>
    <t xml:space="preserve">ANTEILNENNERMEP3 </t>
  </si>
  <si>
    <t xml:space="preserve">ANTEILSONSTIGESMEP3 </t>
  </si>
  <si>
    <t xml:space="preserve">NUTZUNGSRECHTSART </t>
  </si>
  <si>
    <t xml:space="preserve">RECHTSGRUND </t>
  </si>
  <si>
    <t xml:space="preserve">BESCHREIBUNG </t>
  </si>
  <si>
    <t xml:space="preserve">DATUM </t>
  </si>
  <si>
    <t xml:space="preserve">ANTEILZAEHLERWEG </t>
  </si>
  <si>
    <t xml:space="preserve">ANTEILNENNERWEG </t>
  </si>
  <si>
    <t xml:space="preserve">ANTEILSONSTIGESWEG </t>
  </si>
  <si>
    <t xml:space="preserve">VERAEUSSERUNGSBESCHRAENKUNGWEG </t>
  </si>
  <si>
    <t xml:space="preserve">VERAEUSSERUNGSBESCHAUSNAHMEWEG </t>
  </si>
  <si>
    <t>FK_WEGEINHEITID</t>
  </si>
  <si>
    <t>STATUS</t>
  </si>
  <si>
    <t>FK_BERECHTIGTERID</t>
  </si>
  <si>
    <t>BEGINNZUORDNUNG</t>
  </si>
  <si>
    <t>ENDEZUORDNUNG</t>
  </si>
  <si>
    <t>AKTENZEICHENPARTEIKRAFTAMTES</t>
  </si>
  <si>
    <t>AKTENZEICHENDOKUMENT</t>
  </si>
  <si>
    <t>EINGANGSDATUMVOLLMACHT</t>
  </si>
  <si>
    <t>AKTENZEICHZUSTELLBEVOLLMAECHT</t>
  </si>
  <si>
    <t>HISTORISCHESBLATT</t>
  </si>
  <si>
    <t>EUPRUEFPROTOKOLL</t>
  </si>
  <si>
    <t>FK_GRUNDPFANDRECHTSBRIEFID</t>
  </si>
  <si>
    <t>WERTNORMALISIERT</t>
  </si>
  <si>
    <t>NAME</t>
  </si>
  <si>
    <t>AMTSGERICHTINHOEFEROLLE</t>
  </si>
  <si>
    <t>DATUMINHOEFEROLLE</t>
  </si>
  <si>
    <t>Table reactivated : WirtschaftsartZuordnung</t>
  </si>
  <si>
    <t>New table LAGEBEZEICHNUNG</t>
  </si>
  <si>
    <t>Table FLurstück: Column Lage(Address) removed - Now located in new table LAGEBEZEICHNUNG</t>
  </si>
  <si>
    <t>Table Eintragungsbeteiligter : separated “Anteil” for Berechtigter and Eigentuemer</t>
  </si>
  <si>
    <t>LageBezeichnung</t>
  </si>
  <si>
    <t>Table LAGEBEZEICHNUNG: Format Lage (Street) changed from "["Hauptstraße nnn"]" to "Hauptstraße nnn"</t>
  </si>
  <si>
    <t>Flurstück</t>
  </si>
  <si>
    <t>Lagebezeichnung</t>
  </si>
  <si>
    <t>Wirtschaftsart</t>
  </si>
  <si>
    <t>Wirtschaftsartzuordnung</t>
  </si>
  <si>
    <t>Several tables: Changed layout…</t>
  </si>
  <si>
    <r>
      <t>For Berechtigter ANTEILNENNERBERECHTIGTER and</t>
    </r>
    <r>
      <rPr>
        <sz val="9"/>
        <color rgb="FF1F497D"/>
        <rFont val="Calibri"/>
        <family val="2"/>
      </rPr>
      <t xml:space="preserve"> </t>
    </r>
    <r>
      <rPr>
        <sz val="9"/>
        <color indexed="8"/>
        <rFont val="Calibri"/>
        <family val="2"/>
      </rPr>
      <t>ANTEILZAEHLERBERECHTIGTER should be always „1“.</t>
    </r>
  </si>
  <si>
    <t>Table Person: FK_JURISTISCHEPERSONID [D] is also filled for JURISTISCHE PERSON of GbR (and not only for NATUERLICHE PERSON)</t>
  </si>
  <si>
    <t>Table Person: FK_ROOTELEMENT_ID [AL] is also filled for JURISTISCHE PERSON of GbR (and not only for NATUERLICHE PERSON)</t>
  </si>
  <si>
    <t>Field “GRUNDBUCHBEZIRKSNUMMER” was changed into string instead of integer. In table „Grundbuchblatt” this column has 4 marks instead of 3</t>
  </si>
  <si>
    <t>In all objects which have ID inherited from EINTRAGUNGOBJEKTZUORDNUNG we have deleted one column – sichtbarwennistgeloescht</t>
  </si>
  <si>
    <t>NUMMERINHOEFEROLLE</t>
  </si>
  <si>
    <t>FK_HOFID</t>
  </si>
  <si>
    <t xml:space="preserve">Table EINTRAGUNGOBJEKTZUORDNUNG: Eintragungsstatus should be value selected in the macro / Neueversion should be always FALSE
</t>
  </si>
  <si>
    <t>Status: R</t>
  </si>
  <si>
    <t>LfdNummer: 1</t>
  </si>
  <si>
    <t>NATUERLICHEPERSON</t>
  </si>
  <si>
    <t>UserForm: Status “R” is default</t>
  </si>
  <si>
    <t>UserForm: If Status is "R", option "with _Hist" can be selected</t>
  </si>
  <si>
    <t xml:space="preserve">If option "with _Hist" is selected: For most of all tables a copy of the current entry is done in liked named table "..._HIST" , but with exceptions </t>
  </si>
  <si>
    <t xml:space="preserve">created in macro </t>
  </si>
  <si>
    <t>NotNull</t>
  </si>
  <si>
    <t>Marta</t>
  </si>
  <si>
    <t>created in macro (when it's part of GhG or GbR)</t>
  </si>
  <si>
    <t>Alexandra</t>
  </si>
  <si>
    <t>Schwarz</t>
  </si>
  <si>
    <t>Peter</t>
  </si>
  <si>
    <t>Markus</t>
  </si>
  <si>
    <t>Meier</t>
  </si>
  <si>
    <t>Schulz</t>
  </si>
  <si>
    <t>Stefan</t>
  </si>
  <si>
    <t>Weiß</t>
  </si>
  <si>
    <t>Anton</t>
  </si>
  <si>
    <t>Heinz</t>
  </si>
  <si>
    <t>Maier</t>
  </si>
  <si>
    <t>Arnold</t>
  </si>
  <si>
    <t>JURISTISCHEPERSON</t>
  </si>
  <si>
    <t>HRA 3503</t>
  </si>
  <si>
    <t>Großbank Nürnberg</t>
  </si>
  <si>
    <t>Amtsgericht Nürnberg</t>
  </si>
  <si>
    <t>HRA 3504</t>
  </si>
  <si>
    <t>Sparkasse Bamberg</t>
  </si>
  <si>
    <t>Amtsgericht Bamberg</t>
  </si>
  <si>
    <t>HRA 3505</t>
  </si>
  <si>
    <t>Weeiss Private und Sohn</t>
  </si>
  <si>
    <t>HRA 3506</t>
  </si>
  <si>
    <t>Großbank München</t>
  </si>
  <si>
    <t>Amtsgericht München</t>
  </si>
  <si>
    <t>HRA 3507</t>
  </si>
  <si>
    <t>Sparkasse Fürth</t>
  </si>
  <si>
    <t>Amtsgericht Fürth</t>
  </si>
  <si>
    <t>HRA 3508</t>
  </si>
  <si>
    <t>Großbank Aschaffenburg</t>
  </si>
  <si>
    <t>Amtsgericht Aschaffenburg</t>
  </si>
  <si>
    <t>HRA 3509</t>
  </si>
  <si>
    <t>Großbank Bamberg</t>
  </si>
  <si>
    <t>Rossmann GbR</t>
  </si>
  <si>
    <t>Bremen</t>
  </si>
  <si>
    <t>GESAMTHANDSGEMEINSCHAFT</t>
  </si>
  <si>
    <t>als Gesamtberechtigte gemäß § 428 BGB</t>
  </si>
  <si>
    <t>Table Person: Basic data is random choosen from sheet "PERSONEN_List" in MACRO WORK BOOK</t>
  </si>
  <si>
    <t>HERRSCHVERMERK</t>
  </si>
  <si>
    <t>BezBuchstelleHerrschverm</t>
  </si>
  <si>
    <t>In "…_HIST" tables NEUEVERSION always = TRUE</t>
  </si>
  <si>
    <t>Table Flurstueck: FIKTIVESBLATTKENNZEICHEN, FIKTIVESBLATTID, FIKTIVEBUCHUNGSSTELLEID no longer skipped when copy to _HIST</t>
  </si>
  <si>
    <t>Table Buchungsstelle: No skipping when copy to _HIST</t>
  </si>
  <si>
    <t>LocationName</t>
  </si>
  <si>
    <t xml:space="preserve">OBJEKTKLASSE: Location changed to LocationName </t>
  </si>
  <si>
    <t>Table Flurstueck: GEMARKUNGSSCHLUESSEL changed to "09…" instead of "BY…"</t>
  </si>
  <si>
    <t>Table Flurstueck: column GEMARKUNGSSCHLUESSEL changed to textformat because of values with leading zero ("09…")</t>
  </si>
  <si>
    <t xml:space="preserve">Table Buchungsstelle: FK_EINTRAGUNG_ID should be generated automatically </t>
  </si>
  <si>
    <t>Table Buchungsstelle: Some columns changed position</t>
  </si>
  <si>
    <t>Table “PERSON” – in column AUSMIGRATION should be always “FALSE”</t>
  </si>
  <si>
    <t>BEZBELABT2EIGENTUEMER</t>
  </si>
  <si>
    <t>ALTRECHT</t>
  </si>
  <si>
    <t>PreviousLawRight</t>
  </si>
  <si>
    <t>BELASTUNGABT2</t>
  </si>
  <si>
    <t>EncumbranceDept2</t>
  </si>
  <si>
    <t>BELASTUNGABT3</t>
  </si>
  <si>
    <t>EncumbranceDept3</t>
  </si>
  <si>
    <t>BERECHTIGTER</t>
  </si>
  <si>
    <t>EntitledParty</t>
  </si>
  <si>
    <t>EIGENTUEMER</t>
  </si>
  <si>
    <t>Owner</t>
  </si>
  <si>
    <t>InheritableBuildingRight</t>
  </si>
  <si>
    <t>JointOwnership</t>
  </si>
  <si>
    <t>GRUNDSTUECK</t>
  </si>
  <si>
    <t>RealEstate</t>
  </si>
  <si>
    <t>LegalPerson</t>
  </si>
  <si>
    <t>MITEIGENTUMP3GBO</t>
  </si>
  <si>
    <t>CoOwnershipP3GBO</t>
  </si>
  <si>
    <t>NaturalPerson</t>
  </si>
  <si>
    <t>NUTZUNGSRECHT</t>
  </si>
  <si>
    <t>RightOfUse</t>
  </si>
  <si>
    <t>PERSONUNBENANNT</t>
  </si>
  <si>
    <t>PersonUnnamed</t>
  </si>
  <si>
    <t>WEGEINHEIT</t>
  </si>
  <si>
    <t>CondominiumUnit</t>
  </si>
  <si>
    <t>ZUBUCHUNGALTRECHT</t>
  </si>
  <si>
    <t>PreviousLawRightAddOn</t>
  </si>
  <si>
    <t>PersonUnbenannt</t>
  </si>
  <si>
    <t>Table EINTRAGUNGOBJEKTZUORDNUNG : OBJEKT_KLASSE = EncumbranceDept2 or EncumbranceDept3 instead of Encumbrance</t>
  </si>
  <si>
    <t>Table EINTRAGUNGOBJEKTZUORDNUNG : OBJEKT_KLASSE = Eigentuemer or Berechtigter instead of EINTRAGUNGSBETEILIGTER</t>
  </si>
  <si>
    <t>Table EINTRAGUNGOBJEKTZUORDNUNG : OBJEKT_KLASSE = NatuerlichePerson or JuristischePerson or Gesamthandsgemeinschaft instead of PERSON</t>
  </si>
  <si>
    <t>HAUPTOBJEKTKLASSE</t>
  </si>
  <si>
    <t>MIGRATIONSART</t>
  </si>
  <si>
    <t>BOEINTRAGUNGSSPERRE</t>
  </si>
  <si>
    <t>GRUNDPFANDRECHTSART</t>
  </si>
  <si>
    <t>FK_NUTZUNGSRECHTID</t>
  </si>
  <si>
    <t>FK_HERRSCHVERMERKID</t>
  </si>
  <si>
    <t>FK_HERRSCHENDEBUCHUNGSSTELLID</t>
  </si>
  <si>
    <t>FK_DIENENDEBUCHUNGSSTELLEID</t>
  </si>
  <si>
    <t>VERFBESCHRBERECHTIGTER</t>
  </si>
  <si>
    <t>NIESSBRAUCHBERECHTIGTER</t>
  </si>
  <si>
    <t>TRANSITIONSOBJEKTTYP</t>
  </si>
  <si>
    <t>Table KOMPOSITAENDERUNGSOBJEKT: New column moves "FK_EINTRAGUNG_ID" to column "Z" (&amp; _HIST)</t>
  </si>
  <si>
    <t>Table Flurstueck_HIST: Skip column "BOEINTRAGUNGSSPERRE"</t>
  </si>
  <si>
    <t>Table EINTRAGUNGOBJEKTZUORDNUNG: “RegisterEntryParticipant” (only for GhG participants) insteat of Owner</t>
  </si>
  <si>
    <t>Table EINTRAGUNGOBJEKTZUORDNUNG: "NeueVersion" is always "TRUE"</t>
  </si>
  <si>
    <t>Table EINTRAGUNGOBJEKTZUORDNUNG: "RealEstate" instead of "BookingPosition" (Same for table _HIST)</t>
  </si>
  <si>
    <t>New GEMARKUNG "Rödlas". GRUNDBUCHBEZIRKSNUMMER = 4203 GEMARKUNGSSCHLUESSEL= 092702.</t>
  </si>
  <si>
    <t>EINTRAGUNGSNAMENORMALISIERT</t>
  </si>
  <si>
    <t>BEZEICHNUNGNORMALISIERT</t>
  </si>
  <si>
    <t>SITZNORMALISIERT</t>
  </si>
  <si>
    <t>REGISTERNUMMERNORMALISIERT</t>
  </si>
  <si>
    <t>VORNAMENORMALISIERT</t>
  </si>
  <si>
    <t>NACHNAMENORMALISIERT</t>
  </si>
  <si>
    <t>NAMENSVORSATZNORMALISIERT</t>
  </si>
  <si>
    <t>NAMENSZUSATZNORMALISIERT</t>
  </si>
  <si>
    <t>GEBURTSNAMENORMALISIERT</t>
  </si>
  <si>
    <t>WOHNORTNORMALISIERT</t>
  </si>
  <si>
    <t>NAMENSNUMMERID</t>
  </si>
  <si>
    <t>Table Grundbuchblatt: QuellSystemID is filled with given formula instead of set value</t>
  </si>
  <si>
    <t>Table Buchungsstelle: QuellSystemID is filled with given formula instead of set value</t>
  </si>
  <si>
    <t>Table Person: QuellSystemID is filled with given formula instead of set value</t>
  </si>
  <si>
    <t>Table Eintragungsbeteiligtert: QuellSystemID is filled with given formula instead of set value</t>
  </si>
  <si>
    <t xml:space="preserve">For all changes from 09.12.2019: Value is set instead of a formula (because of problems with different languages) </t>
  </si>
  <si>
    <t>Table Flurstueck:  QuellSystemID has its own prefix</t>
  </si>
  <si>
    <t>Table KOMPOSITAENDERUNGSOBJEKT: Deletion of some column re-moves "FK_EINTRAGUNG_ID" to column "T" from "Z" (&amp; _HIST)</t>
  </si>
  <si>
    <t>NAMENORMALISIERT</t>
  </si>
  <si>
    <t>BEZEINTROBJEINTRGRUNDLAGE</t>
  </si>
  <si>
    <t>VORFAHREID</t>
  </si>
  <si>
    <t>Entities</t>
  </si>
  <si>
    <t>1Eintragung_HIST</t>
  </si>
  <si>
    <t>Eintragung_HIST</t>
  </si>
  <si>
    <t>1KompositAenderungsobjekt_HIST</t>
  </si>
  <si>
    <t>KompositAenderungsobjekt_HIST</t>
  </si>
  <si>
    <t>1HOF_HIST</t>
  </si>
  <si>
    <t>HOF_HIST</t>
  </si>
  <si>
    <t>1Grundbuchblatt_HIST</t>
  </si>
  <si>
    <t>Grundbuchblatt_HIST</t>
  </si>
  <si>
    <t>1Flurstueck_HIST</t>
  </si>
  <si>
    <t>Flurstueck_HIST</t>
  </si>
  <si>
    <t>1Mehrfachbelastung_HIST</t>
  </si>
  <si>
    <t>Mehrfachbelastung_HIST</t>
  </si>
  <si>
    <t>1Person_HIST</t>
  </si>
  <si>
    <t>Person_HIST</t>
  </si>
  <si>
    <t>1WIDERSPRUCH_HIST</t>
  </si>
  <si>
    <t>WIDERSPRUCH_HIST</t>
  </si>
  <si>
    <t>1Eintragungsbeteiligter_HIST</t>
  </si>
  <si>
    <t>Eintragungsbeteiligter_HIST</t>
  </si>
  <si>
    <t>1AENDERUNGSOBJEKT_HIST</t>
  </si>
  <si>
    <t>AENDERUNGSOBJEKT_HIST</t>
  </si>
  <si>
    <t>1HERRSCHVERMERK_HIST</t>
  </si>
  <si>
    <t>HERRSCHVERMERK_HIST</t>
  </si>
  <si>
    <t>1Belastung_HIST</t>
  </si>
  <si>
    <t>Belastung_HIST</t>
  </si>
  <si>
    <t>1WEGSERIE_HIST</t>
  </si>
  <si>
    <t>WEGSERIE_HIST</t>
  </si>
  <si>
    <t>1Buchungsstelle_HIST</t>
  </si>
  <si>
    <t>Buchungsstelle_HIST</t>
  </si>
  <si>
    <t>1SONDEREIGENTUM_HIST</t>
  </si>
  <si>
    <t>SONDEREIGENTUM_HIST</t>
  </si>
  <si>
    <t>1BezGrundstueckFlurstueck_HIST</t>
  </si>
  <si>
    <t>BezGrundstueckFlurstueck_HIST</t>
  </si>
  <si>
    <t>1WIDERSPRUCHBELASTUNG_HIST</t>
  </si>
  <si>
    <t>WIDERSPRUCHBELASTUNG_HIST</t>
  </si>
  <si>
    <t>1Vollstreckbarkeit_HIST</t>
  </si>
  <si>
    <t>Vollstreckbarkeit_HIST</t>
  </si>
  <si>
    <t>1Eintragungsgrundlage_HIST</t>
  </si>
  <si>
    <t>Eintragungsgrundlage_HIST</t>
  </si>
  <si>
    <t>1BEZEINTROBJEINTRGRUNDLAGE_HIST</t>
  </si>
  <si>
    <t>BEZEINTROBJEINTRGRUNDLAGE_HIST</t>
  </si>
  <si>
    <t>1Nebenleistung_HIST</t>
  </si>
  <si>
    <t>Nebenleistung_HIST</t>
  </si>
  <si>
    <t>1Zins_HIST</t>
  </si>
  <si>
    <t>Zins_HIST</t>
  </si>
  <si>
    <t>1BezBelastungEigentuemer_HIST</t>
  </si>
  <si>
    <t>BezBelastungEigentuemer_HIST</t>
  </si>
  <si>
    <t>1BezBuchstelleEigentuemer_HIST</t>
  </si>
  <si>
    <t>BezBuchstelleEigentuemer_HIST</t>
  </si>
  <si>
    <t>1BezBuchstelleBelastung_HIST</t>
  </si>
  <si>
    <t>BezBuchstelleBelastung_HIST</t>
  </si>
  <si>
    <t>1BezBuchstelleErwerbsgrd_HIST</t>
  </si>
  <si>
    <t>BezBuchstelleErwerbsgrd_HIST</t>
  </si>
  <si>
    <t>1Teilflaechenbelastung_HIST</t>
  </si>
  <si>
    <t>Teilflaechenbelastung_HIST</t>
  </si>
  <si>
    <t>1Rangvorbehalt_HIST</t>
  </si>
  <si>
    <t>Rangvorbehalt_HIST</t>
  </si>
  <si>
    <t>1Rangvermerk_HIST</t>
  </si>
  <si>
    <t>Rangvermerk_HIST</t>
  </si>
  <si>
    <t>1BezRangvermerkBuchstelle_HIST</t>
  </si>
  <si>
    <t>BezRangvermerkBuchstelle_HIST</t>
  </si>
  <si>
    <t>1BezRangvermEigentuemer_HIST</t>
  </si>
  <si>
    <t>BezRangvermEigentuemer_HIST</t>
  </si>
  <si>
    <t>1BezRangvorbehEigentuemer_HIST</t>
  </si>
  <si>
    <t>BezRangvorbehEigentuemer_HIST</t>
  </si>
  <si>
    <t>1BezRangvorbehBuchstelle_HIST</t>
  </si>
  <si>
    <t>BezRangvorbehBuchstelle_HIST</t>
  </si>
  <si>
    <t>1BezBelAbt3Ausschl1179a_HIST</t>
  </si>
  <si>
    <t>BezBelAbt3Ausschl1179a_HIST</t>
  </si>
  <si>
    <t>1BEZBLATTEINTRAGUNG_HIST</t>
  </si>
  <si>
    <t>BEZBLATTEINTRAGUNG_HIST</t>
  </si>
  <si>
    <t>1DINGLICHBERECHTIGTER_HIST</t>
  </si>
  <si>
    <t>DINGLICHBERECHTIGTER_HIST</t>
  </si>
  <si>
    <t>1WIRKSAMKEITSVERMERK_HIST</t>
  </si>
  <si>
    <t>WIRKSAMKEITSVERMERK_HIST</t>
  </si>
  <si>
    <t>1BEZWIDERSPRUCHEIGENTUEMER_HIST</t>
  </si>
  <si>
    <t>BEZWIDERSPRUCHEIGENTUEMER_HIST</t>
  </si>
  <si>
    <t>1BEZBUCHSTELLEWIDERSPRUCH_HIST</t>
  </si>
  <si>
    <t>BEZBUCHSTELLEWIDERSPRUCH_HIST</t>
  </si>
  <si>
    <t>1BEZMEHRFBELASTUNGBLATT_HIST</t>
  </si>
  <si>
    <t>BEZMEHRFBELASTUNGBLATT_HIST</t>
  </si>
  <si>
    <t>1Grundpfandrechtsbrief_HIST</t>
  </si>
  <si>
    <t>Grundpfandrechtsbrief_HIST</t>
  </si>
  <si>
    <t>1VerfBeschrBerechtigter_HIST</t>
  </si>
  <si>
    <t>VerfBeschrBerechtigter_HIST</t>
  </si>
  <si>
    <t>1ParteiKraftAmtes_HIST</t>
  </si>
  <si>
    <t>ParteiKraftAmtes_HIST</t>
  </si>
  <si>
    <t>1Zustellungsbevollmaechtig_HIST</t>
  </si>
  <si>
    <t>Zustellungsbevollmaechtig_HIST</t>
  </si>
  <si>
    <t>1BEZBRIEFBELASTUNG_HIST</t>
  </si>
  <si>
    <t>BEZBRIEFBELASTUNG_HIST</t>
  </si>
  <si>
    <t>1LAGEBEZEICHNUNG_HIST</t>
  </si>
  <si>
    <t>LAGEBEZEICHNUNG_HIST</t>
  </si>
  <si>
    <t>1WIRTSCHAFTSARTZUORDNUNG_HIST</t>
  </si>
  <si>
    <t>WIRTSCHAFTSARTZUORDNUNG_HIST</t>
  </si>
  <si>
    <t>1BEZBELABT2EIGENTUEMER_HIST</t>
  </si>
  <si>
    <t>BEZBELABT2EIGENTUEMER_HIST</t>
  </si>
  <si>
    <t>1BezBuchstelleHerrschverm_HIST</t>
  </si>
  <si>
    <t>BezBuchstelleHerrschverm_HIST</t>
  </si>
  <si>
    <t>1GRUNDBUCHBLATTVORSYSTEM_HIST</t>
  </si>
  <si>
    <t>GRUNDBUCHBLATTVORSYSTEM_HIST</t>
  </si>
  <si>
    <t>1EINTRAGUNGOBJEKTZUORDNUNG_HIST</t>
  </si>
  <si>
    <t>EINTRAGUNGOBJEKTZUORDNUNG_HIST</t>
  </si>
  <si>
    <t>Table Buchungsstelle_HIST: Skip column "VOLLMIGRIERT"</t>
  </si>
  <si>
    <t>Ort: Bamberg</t>
  </si>
  <si>
    <t>LFDNUMMER: 1</t>
  </si>
  <si>
    <t>Betrag: NULL</t>
  </si>
  <si>
    <t>Geldrente,Reallast</t>
  </si>
  <si>
    <t>PersonID: 495</t>
  </si>
  <si>
    <t>Bezeichnung: Sparkasse Bamberg</t>
  </si>
  <si>
    <t>Registergericht: Amtsgericht Bamberg</t>
  </si>
  <si>
    <t>Anteilnenner: NULL</t>
  </si>
  <si>
    <t>AssocBookingPositionEncumbrance</t>
  </si>
  <si>
    <t>Table Eintragungsgrundlage: Without FK_EINTRAGUNG_ID, FK_AUSSTELLER_ID all other FK_...-Columns are removed from table</t>
  </si>
  <si>
    <t>AssocEntryObjectRegistrationBasis</t>
  </si>
  <si>
    <t>New Objekt/Objektklasse: BEZEINTROBJEINTRGRUNDLAGE/AssocEntryObjectRegistrationBasis</t>
  </si>
  <si>
    <t>1986_1</t>
  </si>
  <si>
    <t>PersonID: 367</t>
  </si>
  <si>
    <t>Name: Stefan Weiß</t>
  </si>
  <si>
    <t>Typ: Bewilligung</t>
  </si>
  <si>
    <t>UrkundenNummer: UR-335/2015</t>
  </si>
  <si>
    <t>Bezeintrobjeintrgrundlage</t>
  </si>
  <si>
    <t>To create Eintragungsgrundlage we need to create one additional object EINTRAGUNGSOBJEKT and in that table we create association</t>
  </si>
  <si>
    <t>BezEintrObjEintrGrundlage</t>
  </si>
  <si>
    <t>&amp; ID_Belastung &gt; 0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</si>
</sst>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63" x14ac:knownFonts="1">
    <font>
      <sz val="11"/>
      <color indexed="8"/>
      <name val="Calibri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sz val="11"/>
      <color rgb="FF006100"/>
      <name val="Calibri"/>
      <family val="2"/>
    </font>
    <font>
      <sz val="11"/>
      <color rgb="FF9C0006"/>
      <name val="Calibri"/>
      <family val="2"/>
    </font>
    <font>
      <sz val="11"/>
      <color rgb="FF9C6500"/>
      <name val="Calibri"/>
      <family val="2"/>
    </font>
    <font>
      <sz val="11"/>
      <color rgb="FF3F3F76"/>
      <name val="Calibri"/>
      <family val="2"/>
    </font>
    <font>
      <b/>
      <sz val="11"/>
      <color rgb="FF3F3F3F"/>
      <name val="Calibri"/>
      <family val="2"/>
    </font>
    <font>
      <b/>
      <sz val="11"/>
      <color rgb="FFFA7D00"/>
      <name val="Calibri"/>
      <family val="2"/>
    </font>
    <font>
      <sz val="11"/>
      <color rgb="FFFA7D00"/>
      <name val="Calibri"/>
      <family val="2"/>
    </font>
    <font>
      <b/>
      <sz val="11"/>
      <color theme="0"/>
      <name val="Calibri"/>
      <family val="2"/>
    </font>
    <font>
      <sz val="11"/>
      <color rgb="FFFF0000"/>
      <name val="Calibri"/>
      <family val="2"/>
    </font>
    <font>
      <i/>
      <sz val="11"/>
      <color rgb="FF7F7F7F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  <charset val="238"/>
    </font>
    <font>
      <b/>
      <sz val="11"/>
      <color indexed="9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9"/>
      <color indexed="8"/>
      <name val="Calibri"/>
      <family val="2"/>
    </font>
    <font>
      <b/>
      <sz val="10"/>
      <color indexed="8"/>
      <name val="Calibri"/>
      <family val="2"/>
    </font>
    <font>
      <sz val="12"/>
      <color indexed="8"/>
      <name val="Calibri"/>
      <family val="2"/>
    </font>
    <font>
      <b/>
      <sz val="10"/>
      <color theme="0"/>
      <name val="Calibri"/>
      <family val="2"/>
    </font>
    <font>
      <sz val="9"/>
      <color theme="0"/>
      <name val="Calibri"/>
      <family val="2"/>
    </font>
    <font>
      <sz val="8"/>
      <color indexed="8"/>
      <name val="Calibri"/>
      <family val="2"/>
    </font>
    <font>
      <b/>
      <sz val="9"/>
      <color indexed="8"/>
      <name val="Calibri"/>
      <family val="2"/>
    </font>
    <font>
      <sz val="16"/>
      <color indexed="8"/>
      <name val="Calibri"/>
      <family val="2"/>
    </font>
    <font>
      <b/>
      <sz val="12"/>
      <color indexed="8"/>
      <name val="Calibri"/>
      <family val="2"/>
    </font>
    <font>
      <b/>
      <sz val="8"/>
      <color theme="0"/>
      <name val="Calibri"/>
      <family val="2"/>
      <scheme val="minor"/>
    </font>
    <font>
      <sz val="8"/>
      <color indexed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name val="Calibri"/>
      <family val="2"/>
      <scheme val="minor"/>
    </font>
    <font>
      <strike/>
      <sz val="8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color indexed="8"/>
      <name val="Webdings"/>
      <family val="1"/>
      <charset val="2"/>
    </font>
    <font>
      <sz val="10"/>
      <color indexed="8"/>
      <name val="Webdings"/>
      <family val="1"/>
      <charset val="2"/>
    </font>
    <font>
      <sz val="8"/>
      <color theme="0"/>
      <name val="Calibri"/>
      <family val="2"/>
    </font>
    <font>
      <b/>
      <sz val="8"/>
      <color rgb="FF000000"/>
      <name val="Calibri"/>
      <family val="2"/>
    </font>
    <font>
      <b/>
      <sz val="16"/>
      <color indexed="8"/>
      <name val="Calibri"/>
      <family val="2"/>
    </font>
    <font>
      <b/>
      <sz val="8"/>
      <color indexed="8"/>
      <name val="Calibri"/>
      <family val="2"/>
    </font>
    <font>
      <strike/>
      <sz val="8"/>
      <color rgb="FF000000"/>
      <name val="Calibri"/>
      <family val="2"/>
    </font>
    <font>
      <sz val="9"/>
      <color indexed="8"/>
      <name val="Webdings"/>
      <family val="1"/>
      <charset val="2"/>
    </font>
    <font>
      <sz val="8"/>
      <color indexed="8"/>
      <name val="Webdings"/>
      <family val="1"/>
      <charset val="2"/>
    </font>
    <font>
      <sz val="9"/>
      <color rgb="FF1F497D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  <charset val="238"/>
    </font>
    <font>
      <b/>
      <sz val="11"/>
      <color indexed="9"/>
      <name val="Calibri"/>
      <family val="2"/>
      <charset val="238"/>
    </font>
    <font>
      <b/>
      <sz val="11"/>
      <color rgb="FFFFFFFF"/>
      <name val="Calibri"/>
      <family val="2"/>
      <charset val="238"/>
    </font>
    <font>
      <sz val="11"/>
      <color rgb="FF9C5700"/>
      <name val="Calibri"/>
      <family val="2"/>
    </font>
  </fonts>
  <fills count="10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8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4FD1FF"/>
        <bgColor indexed="64"/>
      </patternFill>
    </fill>
    <fill>
      <patternFill patternType="solid">
        <fgColor rgb="FF6DD9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39EE00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FFD85D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AFAFFF"/>
        <bgColor indexed="64"/>
      </patternFill>
    </fill>
    <fill>
      <patternFill patternType="solid">
        <fgColor rgb="FF9393FF"/>
        <bgColor indexed="64"/>
      </patternFill>
    </fill>
    <fill>
      <patternFill patternType="solid">
        <fgColor rgb="FFFF9953"/>
        <bgColor indexed="64"/>
      </patternFill>
    </fill>
    <fill>
      <patternFill patternType="solid">
        <fgColor rgb="FFFF7B21"/>
        <bgColor indexed="64"/>
      </patternFill>
    </fill>
    <fill>
      <patternFill patternType="solid">
        <fgColor rgb="FFFA65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1C1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5ED8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B7B7FF"/>
        <bgColor indexed="64"/>
      </patternFill>
    </fill>
    <fill>
      <patternFill patternType="solid">
        <fgColor rgb="FFDDDDFF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A3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DD71"/>
        <bgColor indexed="64"/>
      </patternFill>
    </fill>
    <fill>
      <patternFill patternType="solid">
        <fgColor rgb="FF87C7D9"/>
        <bgColor indexed="64"/>
      </patternFill>
    </fill>
    <fill>
      <patternFill patternType="solid">
        <fgColor rgb="FFFC863E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6DB6FF"/>
        <bgColor indexed="64"/>
      </patternFill>
    </fill>
    <fill>
      <patternFill patternType="solid">
        <fgColor rgb="FF62C220"/>
        <bgColor indexed="64"/>
      </patternFill>
    </fill>
    <fill>
      <patternFill patternType="solid">
        <fgColor rgb="FFFEC200"/>
        <bgColor indexed="64"/>
      </patternFill>
    </fill>
    <fill>
      <patternFill patternType="solid">
        <fgColor rgb="FF8DE353"/>
        <bgColor indexed="64"/>
      </patternFill>
    </fill>
    <fill>
      <patternFill patternType="solid">
        <fgColor rgb="FFFFDF79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9BCDFF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4BA5FF"/>
        <bgColor indexed="64"/>
      </patternFill>
    </fill>
    <fill>
      <patternFill patternType="solid">
        <fgColor rgb="FFFF81C0"/>
        <bgColor indexed="64"/>
      </patternFill>
    </fill>
    <fill>
      <patternFill patternType="solid">
        <fgColor rgb="FFFFFFB3"/>
        <bgColor indexed="64"/>
      </patternFill>
    </fill>
    <fill>
      <patternFill patternType="solid">
        <fgColor rgb="FFFFFA00"/>
        <bgColor indexed="64"/>
      </patternFill>
    </fill>
    <fill>
      <patternFill patternType="solid">
        <fgColor rgb="FFBCE0EA"/>
        <bgColor indexed="64"/>
      </patternFill>
    </fill>
    <fill>
      <patternFill patternType="solid">
        <fgColor rgb="FFFFFF81"/>
        <bgColor indexed="64"/>
      </patternFill>
    </fill>
    <fill>
      <patternFill patternType="solid">
        <fgColor rgb="FFFFD5FF"/>
        <bgColor indexed="64"/>
      </patternFill>
    </fill>
    <fill>
      <patternFill patternType="solid">
        <fgColor rgb="FFFF15FF"/>
        <bgColor indexed="64"/>
      </patternFill>
    </fill>
    <fill>
      <patternFill patternType="solid">
        <fgColor rgb="FFFF89FF"/>
        <bgColor indexed="64"/>
      </patternFill>
    </fill>
    <fill>
      <patternFill patternType="solid">
        <fgColor rgb="FF6EDA24"/>
        <bgColor indexed="64"/>
      </patternFill>
    </fill>
    <fill>
      <patternFill patternType="solid">
        <fgColor rgb="FFFFFFC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B7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6EDA2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8F"/>
        <bgColor indexed="64"/>
      </patternFill>
    </fill>
    <fill>
      <patternFill patternType="solid">
        <fgColor rgb="FFFF57FF"/>
        <bgColor indexed="64"/>
      </patternFill>
    </fill>
    <fill>
      <patternFill patternType="solid">
        <fgColor rgb="FF73BED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DC6D"/>
        <bgColor indexed="64"/>
      </patternFill>
    </fill>
    <fill>
      <patternFill patternType="solid">
        <fgColor rgb="FFFB6509"/>
        <bgColor indexed="64"/>
      </patternFill>
    </fill>
    <fill>
      <patternFill patternType="solid">
        <fgColor rgb="FFFC955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99CCFF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4">
    <xf numFmtId="0" fontId="0" fillId="0" borderId="0"/>
    <xf numFmtId="0" fontId="7" fillId="0" borderId="0" applyNumberFormat="0" applyFill="0" applyBorder="0" applyAlignment="0" applyProtection="0"/>
    <xf numFmtId="0" fontId="8" fillId="0" borderId="1" applyNumberFormat="0" applyFill="0" applyAlignment="0" applyProtection="0"/>
    <xf numFmtId="0" fontId="9" fillId="0" borderId="2" applyNumberFormat="0" applyFill="0" applyAlignment="0" applyProtection="0"/>
    <xf numFmtId="0" fontId="10" fillId="0" borderId="3" applyNumberFormat="0" applyFill="0" applyAlignment="0" applyProtection="0"/>
    <xf numFmtId="0" fontId="10" fillId="0" borderId="0" applyNumberFormat="0" applyFill="0" applyBorder="0" applyAlignment="0" applyProtection="0"/>
    <xf numFmtId="0" fontId="11" fillId="2" borderId="0" applyNumberFormat="0" applyBorder="0" applyAlignment="0" applyProtection="0"/>
    <xf numFmtId="0" fontId="12" fillId="3" borderId="0" applyNumberFormat="0" applyBorder="0" applyAlignment="0" applyProtection="0"/>
    <xf numFmtId="0" fontId="13" fillId="4" borderId="0" applyNumberFormat="0" applyBorder="0" applyAlignment="0" applyProtection="0"/>
    <xf numFmtId="0" fontId="14" fillId="5" borderId="4" applyNumberFormat="0" applyAlignment="0" applyProtection="0"/>
    <xf numFmtId="0" fontId="15" fillId="6" borderId="5" applyNumberFormat="0" applyAlignment="0" applyProtection="0"/>
    <xf numFmtId="0" fontId="16" fillId="6" borderId="4" applyNumberFormat="0" applyAlignment="0" applyProtection="0"/>
    <xf numFmtId="0" fontId="17" fillId="0" borderId="6" applyNumberFormat="0" applyFill="0" applyAlignment="0" applyProtection="0"/>
    <xf numFmtId="0" fontId="18" fillId="7" borderId="7" applyNumberFormat="0" applyAlignment="0" applyProtection="0"/>
    <xf numFmtId="0" fontId="19" fillId="0" borderId="0" applyNumberFormat="0" applyFill="0" applyBorder="0" applyAlignment="0" applyProtection="0"/>
    <xf numFmtId="0" fontId="6" fillId="8" borderId="8" applyNumberFormat="0" applyFont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2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22" fillId="12" borderId="0" applyNumberFormat="0" applyBorder="0" applyAlignment="0" applyProtection="0"/>
    <xf numFmtId="0" fontId="22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22" fillId="16" borderId="0" applyNumberFormat="0" applyBorder="0" applyAlignment="0" applyProtection="0"/>
    <xf numFmtId="0" fontId="22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22" fillId="20" borderId="0" applyNumberFormat="0" applyBorder="0" applyAlignment="0" applyProtection="0"/>
    <xf numFmtId="0" fontId="22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22" fillId="24" borderId="0" applyNumberFormat="0" applyBorder="0" applyAlignment="0" applyProtection="0"/>
    <xf numFmtId="0" fontId="22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22" fillId="28" borderId="0" applyNumberFormat="0" applyBorder="0" applyAlignment="0" applyProtection="0"/>
    <xf numFmtId="0" fontId="22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22" fillId="32" borderId="0" applyNumberFormat="0" applyBorder="0" applyAlignment="0" applyProtection="0"/>
    <xf numFmtId="0" fontId="5" fillId="8" borderId="8" applyNumberFormat="0" applyFont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3" fillId="0" borderId="0"/>
    <xf numFmtId="0" fontId="3" fillId="8" borderId="8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8" borderId="8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8" borderId="8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2" fillId="0" borderId="0"/>
    <xf numFmtId="0" fontId="1" fillId="0" borderId="0"/>
    <xf numFmtId="0" fontId="3" fillId="0" borderId="0"/>
    <xf numFmtId="0" fontId="62" fillId="4" borderId="0" applyNumberFormat="0" applyBorder="0" applyAlignment="0" applyProtection="0"/>
    <xf numFmtId="0" fontId="58" fillId="0" borderId="0"/>
    <xf numFmtId="0" fontId="58" fillId="0" borderId="0"/>
  </cellStyleXfs>
  <cellXfs count="713">
    <xf numFmtId="0" fontId="0" fillId="0" borderId="0" xfId="0"/>
    <xf numFmtId="0" fontId="0" fillId="0" borderId="0" xfId="0"/>
    <xf numFmtId="0" fontId="0" fillId="33" borderId="0" xfId="0" applyFill="1"/>
    <xf numFmtId="0" fontId="0" fillId="0" borderId="10" xfId="0" applyBorder="1"/>
    <xf numFmtId="0" fontId="0" fillId="0" borderId="13" xfId="0" applyBorder="1"/>
    <xf numFmtId="0" fontId="0" fillId="0" borderId="14" xfId="0" applyBorder="1"/>
    <xf numFmtId="0" fontId="0" fillId="0" borderId="0" xfId="0" applyBorder="1"/>
    <xf numFmtId="0" fontId="0" fillId="36" borderId="0" xfId="0" applyFill="1"/>
    <xf numFmtId="0" fontId="24" fillId="36" borderId="0" xfId="0" applyFont="1" applyFill="1" applyBorder="1"/>
    <xf numFmtId="0" fontId="0" fillId="36" borderId="0" xfId="0" applyFill="1" applyBorder="1"/>
    <xf numFmtId="0" fontId="25" fillId="34" borderId="10" xfId="0" applyFont="1" applyFill="1" applyBorder="1"/>
    <xf numFmtId="0" fontId="0" fillId="38" borderId="10" xfId="0" applyFill="1" applyBorder="1"/>
    <xf numFmtId="0" fontId="0" fillId="39" borderId="10" xfId="0" applyFill="1" applyBorder="1"/>
    <xf numFmtId="0" fontId="0" fillId="40" borderId="10" xfId="0" applyFill="1" applyBorder="1"/>
    <xf numFmtId="0" fontId="0" fillId="43" borderId="10" xfId="0" applyFill="1" applyBorder="1"/>
    <xf numFmtId="0" fontId="0" fillId="44" borderId="10" xfId="0" applyFill="1" applyBorder="1"/>
    <xf numFmtId="0" fontId="0" fillId="45" borderId="10" xfId="0" applyFill="1" applyBorder="1"/>
    <xf numFmtId="0" fontId="0" fillId="46" borderId="10" xfId="0" applyFill="1" applyBorder="1"/>
    <xf numFmtId="0" fontId="0" fillId="35" borderId="10" xfId="0" applyFill="1" applyBorder="1"/>
    <xf numFmtId="0" fontId="0" fillId="47" borderId="10" xfId="0" applyFill="1" applyBorder="1"/>
    <xf numFmtId="0" fontId="0" fillId="48" borderId="10" xfId="0" applyFill="1" applyBorder="1"/>
    <xf numFmtId="0" fontId="0" fillId="49" borderId="10" xfId="0" applyFill="1" applyBorder="1"/>
    <xf numFmtId="0" fontId="0" fillId="50" borderId="10" xfId="0" applyFill="1" applyBorder="1"/>
    <xf numFmtId="0" fontId="0" fillId="51" borderId="10" xfId="0" applyFill="1" applyBorder="1"/>
    <xf numFmtId="0" fontId="0" fillId="52" borderId="10" xfId="0" applyFill="1" applyBorder="1"/>
    <xf numFmtId="0" fontId="0" fillId="53" borderId="10" xfId="0" applyFill="1" applyBorder="1"/>
    <xf numFmtId="0" fontId="0" fillId="46" borderId="19" xfId="0" applyFill="1" applyBorder="1"/>
    <xf numFmtId="0" fontId="0" fillId="46" borderId="0" xfId="0" applyFill="1" applyBorder="1"/>
    <xf numFmtId="0" fontId="0" fillId="54" borderId="10" xfId="0" applyFill="1" applyBorder="1"/>
    <xf numFmtId="0" fontId="0" fillId="36" borderId="0" xfId="0" applyFill="1" applyBorder="1" applyAlignment="1">
      <alignment vertical="center"/>
    </xf>
    <xf numFmtId="0" fontId="0" fillId="54" borderId="0" xfId="0" applyFill="1" applyBorder="1" applyAlignment="1">
      <alignment vertical="center"/>
    </xf>
    <xf numFmtId="0" fontId="0" fillId="0" borderId="0" xfId="0" applyAlignment="1">
      <alignment vertical="top"/>
    </xf>
    <xf numFmtId="0" fontId="0" fillId="0" borderId="0" xfId="0" applyBorder="1" applyAlignment="1">
      <alignment vertical="top"/>
    </xf>
    <xf numFmtId="0" fontId="0" fillId="36" borderId="0" xfId="0" applyFill="1" applyBorder="1" applyAlignment="1">
      <alignment vertical="top"/>
    </xf>
    <xf numFmtId="0" fontId="27" fillId="36" borderId="0" xfId="0" applyFont="1" applyFill="1" applyBorder="1" applyAlignment="1">
      <alignment horizontal="center" vertical="top"/>
    </xf>
    <xf numFmtId="0" fontId="27" fillId="36" borderId="0" xfId="0" applyFont="1" applyFill="1" applyBorder="1" applyAlignment="1">
      <alignment vertical="top"/>
    </xf>
    <xf numFmtId="0" fontId="29" fillId="36" borderId="0" xfId="0" applyFont="1" applyFill="1" applyBorder="1" applyAlignment="1">
      <alignment vertical="top"/>
    </xf>
    <xf numFmtId="0" fontId="30" fillId="36" borderId="0" xfId="0" applyFont="1" applyFill="1" applyBorder="1" applyAlignment="1">
      <alignment vertical="top"/>
    </xf>
    <xf numFmtId="0" fontId="31" fillId="36" borderId="0" xfId="0" applyFont="1" applyFill="1" applyBorder="1" applyAlignment="1">
      <alignment horizontal="center" vertical="top"/>
    </xf>
    <xf numFmtId="0" fontId="28" fillId="36" borderId="0" xfId="0" applyFont="1" applyFill="1" applyBorder="1" applyAlignment="1">
      <alignment vertical="top"/>
    </xf>
    <xf numFmtId="0" fontId="28" fillId="36" borderId="0" xfId="0" applyFont="1" applyFill="1" applyBorder="1" applyAlignment="1">
      <alignment horizontal="center" vertical="top"/>
    </xf>
    <xf numFmtId="0" fontId="0" fillId="36" borderId="0" xfId="0" applyFill="1" applyBorder="1" applyAlignment="1">
      <alignment horizontal="center" vertical="top"/>
    </xf>
    <xf numFmtId="0" fontId="33" fillId="0" borderId="0" xfId="0" applyFont="1" applyAlignment="1">
      <alignment vertical="top" wrapText="1"/>
    </xf>
    <xf numFmtId="0" fontId="32" fillId="0" borderId="0" xfId="0" applyFont="1" applyAlignment="1">
      <alignment vertical="top" wrapText="1"/>
    </xf>
    <xf numFmtId="0" fontId="34" fillId="0" borderId="0" xfId="0" applyFont="1" applyAlignment="1">
      <alignment horizontal="center" vertical="top"/>
    </xf>
    <xf numFmtId="0" fontId="32" fillId="0" borderId="0" xfId="0" applyFont="1" applyAlignment="1">
      <alignment vertical="top"/>
    </xf>
    <xf numFmtId="0" fontId="32" fillId="36" borderId="0" xfId="0" applyFont="1" applyFill="1" applyBorder="1" applyAlignment="1">
      <alignment vertical="top"/>
    </xf>
    <xf numFmtId="0" fontId="32" fillId="0" borderId="0" xfId="0" applyFont="1"/>
    <xf numFmtId="0" fontId="32" fillId="0" borderId="25" xfId="0" applyFont="1" applyBorder="1"/>
    <xf numFmtId="0" fontId="32" fillId="0" borderId="14" xfId="0" applyFont="1" applyBorder="1"/>
    <xf numFmtId="0" fontId="32" fillId="0" borderId="31" xfId="0" applyFont="1" applyBorder="1"/>
    <xf numFmtId="0" fontId="32" fillId="0" borderId="39" xfId="0" applyFont="1" applyBorder="1"/>
    <xf numFmtId="0" fontId="32" fillId="0" borderId="0" xfId="0" applyFont="1" applyBorder="1"/>
    <xf numFmtId="0" fontId="32" fillId="0" borderId="19" xfId="0" applyFont="1" applyBorder="1" applyAlignment="1"/>
    <xf numFmtId="0" fontId="32" fillId="0" borderId="19" xfId="0" applyFont="1" applyBorder="1"/>
    <xf numFmtId="0" fontId="32" fillId="0" borderId="18" xfId="0" applyFont="1" applyBorder="1"/>
    <xf numFmtId="0" fontId="32" fillId="0" borderId="17" xfId="0" applyFont="1" applyBorder="1"/>
    <xf numFmtId="0" fontId="32" fillId="0" borderId="16" xfId="0" applyFont="1" applyBorder="1"/>
    <xf numFmtId="0" fontId="32" fillId="40" borderId="17" xfId="0" applyFont="1" applyFill="1" applyBorder="1"/>
    <xf numFmtId="0" fontId="32" fillId="0" borderId="29" xfId="0" applyFont="1" applyBorder="1"/>
    <xf numFmtId="0" fontId="32" fillId="40" borderId="29" xfId="0" applyFont="1" applyFill="1" applyBorder="1"/>
    <xf numFmtId="0" fontId="32" fillId="40" borderId="25" xfId="0" applyFont="1" applyFill="1" applyBorder="1"/>
    <xf numFmtId="0" fontId="32" fillId="40" borderId="31" xfId="0" applyFont="1" applyFill="1" applyBorder="1"/>
    <xf numFmtId="0" fontId="32" fillId="0" borderId="18" xfId="0" applyFont="1" applyBorder="1" applyAlignment="1"/>
    <xf numFmtId="0" fontId="32" fillId="0" borderId="13" xfId="0" applyFont="1" applyBorder="1"/>
    <xf numFmtId="0" fontId="32" fillId="0" borderId="29" xfId="0" applyFont="1" applyBorder="1" applyAlignment="1"/>
    <xf numFmtId="0" fontId="32" fillId="0" borderId="28" xfId="0" applyFont="1" applyBorder="1"/>
    <xf numFmtId="0" fontId="32" fillId="0" borderId="20" xfId="0" applyFont="1" applyBorder="1"/>
    <xf numFmtId="0" fontId="32" fillId="54" borderId="19" xfId="0" applyFont="1" applyFill="1" applyBorder="1"/>
    <xf numFmtId="0" fontId="32" fillId="54" borderId="19" xfId="0" applyFont="1" applyFill="1" applyBorder="1" applyAlignment="1"/>
    <xf numFmtId="0" fontId="0" fillId="0" borderId="0" xfId="0" applyAlignment="1">
      <alignment wrapText="1"/>
    </xf>
    <xf numFmtId="0" fontId="32" fillId="0" borderId="0" xfId="0" applyFont="1" applyAlignment="1">
      <alignment wrapText="1"/>
    </xf>
    <xf numFmtId="0" fontId="32" fillId="0" borderId="0" xfId="0" applyFont="1" applyAlignment="1">
      <alignment horizontal="left" vertical="top"/>
    </xf>
    <xf numFmtId="0" fontId="32" fillId="0" borderId="0" xfId="0" applyFont="1" applyAlignment="1">
      <alignment horizontal="left" vertical="top" wrapText="1"/>
    </xf>
    <xf numFmtId="0" fontId="35" fillId="0" borderId="0" xfId="0" applyFont="1" applyAlignment="1">
      <alignment horizontal="right"/>
    </xf>
    <xf numFmtId="0" fontId="32" fillId="0" borderId="0" xfId="0" applyFont="1" applyFill="1"/>
    <xf numFmtId="0" fontId="36" fillId="68" borderId="0" xfId="0" applyFont="1" applyFill="1"/>
    <xf numFmtId="0" fontId="37" fillId="0" borderId="0" xfId="0" applyFont="1"/>
    <xf numFmtId="0" fontId="37" fillId="85" borderId="0" xfId="0" applyFont="1" applyFill="1"/>
    <xf numFmtId="0" fontId="37" fillId="61" borderId="0" xfId="0" applyFont="1" applyFill="1"/>
    <xf numFmtId="0" fontId="37" fillId="89" borderId="0" xfId="0" applyFont="1" applyFill="1"/>
    <xf numFmtId="0" fontId="37" fillId="35" borderId="0" xfId="0" applyFont="1" applyFill="1"/>
    <xf numFmtId="0" fontId="37" fillId="73" borderId="0" xfId="0" applyFont="1" applyFill="1"/>
    <xf numFmtId="0" fontId="37" fillId="66" borderId="0" xfId="0" applyFont="1" applyFill="1"/>
    <xf numFmtId="0" fontId="37" fillId="71" borderId="0" xfId="0" applyFont="1" applyFill="1"/>
    <xf numFmtId="0" fontId="37" fillId="69" borderId="0" xfId="0" applyFont="1" applyFill="1"/>
    <xf numFmtId="0" fontId="37" fillId="76" borderId="0" xfId="0" applyFont="1" applyFill="1"/>
    <xf numFmtId="0" fontId="37" fillId="60" borderId="0" xfId="0" applyFont="1" applyFill="1"/>
    <xf numFmtId="0" fontId="37" fillId="78" borderId="0" xfId="0" applyFont="1" applyFill="1"/>
    <xf numFmtId="0" fontId="37" fillId="67" borderId="0" xfId="0" applyFont="1" applyFill="1"/>
    <xf numFmtId="0" fontId="37" fillId="54" borderId="0" xfId="0" applyFont="1" applyFill="1"/>
    <xf numFmtId="0" fontId="37" fillId="77" borderId="0" xfId="0" applyFont="1" applyFill="1"/>
    <xf numFmtId="0" fontId="37" fillId="56" borderId="0" xfId="0" applyFont="1" applyFill="1"/>
    <xf numFmtId="0" fontId="37" fillId="75" borderId="0" xfId="0" applyFont="1" applyFill="1"/>
    <xf numFmtId="0" fontId="37" fillId="91" borderId="0" xfId="0" applyFont="1" applyFill="1"/>
    <xf numFmtId="0" fontId="37" fillId="62" borderId="0" xfId="0" applyFont="1" applyFill="1"/>
    <xf numFmtId="0" fontId="37" fillId="64" borderId="0" xfId="0" applyFont="1" applyFill="1"/>
    <xf numFmtId="0" fontId="37" fillId="63" borderId="0" xfId="0" applyFont="1" applyFill="1"/>
    <xf numFmtId="0" fontId="37" fillId="74" borderId="0" xfId="0" applyFont="1" applyFill="1"/>
    <xf numFmtId="0" fontId="37" fillId="82" borderId="0" xfId="0" applyFont="1" applyFill="1"/>
    <xf numFmtId="0" fontId="37" fillId="80" borderId="0" xfId="0" applyFont="1" applyFill="1"/>
    <xf numFmtId="0" fontId="37" fillId="34" borderId="0" xfId="0" applyFont="1" applyFill="1"/>
    <xf numFmtId="0" fontId="37" fillId="84" borderId="0" xfId="0" applyFont="1" applyFill="1"/>
    <xf numFmtId="0" fontId="37" fillId="87" borderId="0" xfId="0" applyFont="1" applyFill="1"/>
    <xf numFmtId="0" fontId="37" fillId="86" borderId="0" xfId="0" applyFont="1" applyFill="1"/>
    <xf numFmtId="0" fontId="37" fillId="88" borderId="0" xfId="0" applyFont="1" applyFill="1"/>
    <xf numFmtId="0" fontId="37" fillId="70" borderId="0" xfId="0" applyFont="1" applyFill="1"/>
    <xf numFmtId="0" fontId="37" fillId="83" borderId="0" xfId="0" applyFont="1" applyFill="1"/>
    <xf numFmtId="0" fontId="37" fillId="65" borderId="0" xfId="0" applyFont="1" applyFill="1"/>
    <xf numFmtId="0" fontId="37" fillId="90" borderId="0" xfId="0" applyFont="1" applyFill="1"/>
    <xf numFmtId="0" fontId="37" fillId="72" borderId="0" xfId="0" applyFont="1" applyFill="1"/>
    <xf numFmtId="0" fontId="37" fillId="81" borderId="0" xfId="0" applyFont="1" applyFill="1"/>
    <xf numFmtId="0" fontId="37" fillId="79" borderId="0" xfId="0" applyFont="1" applyFill="1"/>
    <xf numFmtId="0" fontId="38" fillId="0" borderId="0" xfId="108" applyFont="1"/>
    <xf numFmtId="0" fontId="39" fillId="0" borderId="0" xfId="108" applyFont="1"/>
    <xf numFmtId="0" fontId="41" fillId="0" borderId="38" xfId="108" applyFont="1" applyBorder="1"/>
    <xf numFmtId="0" fontId="40" fillId="0" borderId="38" xfId="108" applyFont="1" applyBorder="1" applyAlignment="1">
      <alignment horizontal="center"/>
    </xf>
    <xf numFmtId="0" fontId="40" fillId="0" borderId="37" xfId="108" applyFont="1" applyBorder="1" applyAlignment="1">
      <alignment horizontal="center"/>
    </xf>
    <xf numFmtId="0" fontId="40" fillId="0" borderId="36" xfId="108" applyFont="1" applyBorder="1" applyAlignment="1">
      <alignment horizontal="center"/>
    </xf>
    <xf numFmtId="0" fontId="41" fillId="0" borderId="26" xfId="108" applyFont="1" applyBorder="1"/>
    <xf numFmtId="0" fontId="38" fillId="59" borderId="12" xfId="108" applyFont="1" applyFill="1" applyBorder="1"/>
    <xf numFmtId="0" fontId="38" fillId="59" borderId="19" xfId="108" applyFont="1" applyFill="1" applyBorder="1"/>
    <xf numFmtId="0" fontId="38" fillId="0" borderId="26" xfId="108" applyFont="1" applyBorder="1"/>
    <xf numFmtId="0" fontId="38" fillId="89" borderId="26" xfId="108" applyFont="1" applyFill="1" applyBorder="1"/>
    <xf numFmtId="0" fontId="38" fillId="89" borderId="0" xfId="108" applyFont="1" applyFill="1" applyBorder="1"/>
    <xf numFmtId="0" fontId="42" fillId="89" borderId="33" xfId="108" applyFont="1" applyFill="1" applyBorder="1" applyAlignment="1">
      <alignment vertical="center"/>
    </xf>
    <xf numFmtId="0" fontId="38" fillId="89" borderId="12" xfId="108" applyFont="1" applyFill="1" applyBorder="1"/>
    <xf numFmtId="0" fontId="38" fillId="89" borderId="0" xfId="108" applyFont="1" applyFill="1" applyBorder="1" applyAlignment="1">
      <alignment horizontal="right"/>
    </xf>
    <xf numFmtId="0" fontId="38" fillId="36" borderId="24" xfId="108" applyFont="1" applyFill="1" applyBorder="1"/>
    <xf numFmtId="0" fontId="38" fillId="36" borderId="12" xfId="108" applyFont="1" applyFill="1" applyBorder="1" applyAlignment="1">
      <alignment horizontal="left"/>
    </xf>
    <xf numFmtId="0" fontId="37" fillId="84" borderId="28" xfId="0" applyFont="1" applyFill="1" applyBorder="1"/>
    <xf numFmtId="0" fontId="38" fillId="0" borderId="33" xfId="108" applyFont="1" applyBorder="1"/>
    <xf numFmtId="0" fontId="38" fillId="0" borderId="38" xfId="108" applyFont="1" applyBorder="1"/>
    <xf numFmtId="0" fontId="38" fillId="0" borderId="37" xfId="108" applyFont="1" applyBorder="1"/>
    <xf numFmtId="0" fontId="38" fillId="0" borderId="36" xfId="108" applyFont="1" applyBorder="1"/>
    <xf numFmtId="0" fontId="38" fillId="0" borderId="26" xfId="108" applyFont="1" applyBorder="1" applyAlignment="1">
      <alignment horizontal="left"/>
    </xf>
    <xf numFmtId="0" fontId="37" fillId="60" borderId="29" xfId="0" applyFont="1" applyFill="1" applyBorder="1"/>
    <xf numFmtId="0" fontId="37" fillId="60" borderId="13" xfId="0" applyFont="1" applyFill="1" applyBorder="1"/>
    <xf numFmtId="0" fontId="38" fillId="0" borderId="35" xfId="108" applyFont="1" applyBorder="1"/>
    <xf numFmtId="0" fontId="37" fillId="60" borderId="31" xfId="0" applyFont="1" applyFill="1" applyBorder="1"/>
    <xf numFmtId="0" fontId="38" fillId="36" borderId="19" xfId="108" applyFont="1" applyFill="1" applyBorder="1"/>
    <xf numFmtId="0" fontId="38" fillId="0" borderId="34" xfId="108" applyFont="1" applyBorder="1"/>
    <xf numFmtId="0" fontId="38" fillId="0" borderId="28" xfId="108" applyFont="1" applyBorder="1"/>
    <xf numFmtId="0" fontId="38" fillId="0" borderId="27" xfId="108" applyFont="1" applyBorder="1"/>
    <xf numFmtId="0" fontId="38" fillId="0" borderId="0" xfId="108" applyFont="1" applyBorder="1"/>
    <xf numFmtId="0" fontId="38" fillId="0" borderId="26" xfId="108" applyFont="1" applyBorder="1" applyAlignment="1">
      <alignment horizontal="right"/>
    </xf>
    <xf numFmtId="0" fontId="38" fillId="0" borderId="23" xfId="108" applyFont="1" applyBorder="1" applyAlignment="1">
      <alignment horizontal="right"/>
    </xf>
    <xf numFmtId="0" fontId="38" fillId="36" borderId="41" xfId="108" applyFont="1" applyFill="1" applyBorder="1"/>
    <xf numFmtId="0" fontId="38" fillId="56" borderId="37" xfId="108" applyFont="1" applyFill="1" applyBorder="1"/>
    <xf numFmtId="0" fontId="38" fillId="56" borderId="26" xfId="108" applyFont="1" applyFill="1" applyBorder="1"/>
    <xf numFmtId="0" fontId="38" fillId="36" borderId="30" xfId="108" applyFont="1" applyFill="1" applyBorder="1"/>
    <xf numFmtId="0" fontId="38" fillId="0" borderId="19" xfId="108" applyFont="1" applyBorder="1"/>
    <xf numFmtId="0" fontId="38" fillId="34" borderId="28" xfId="108" applyFont="1" applyFill="1" applyBorder="1" applyAlignment="1">
      <alignment horizontal="left"/>
    </xf>
    <xf numFmtId="0" fontId="38" fillId="34" borderId="27" xfId="108" applyFont="1" applyFill="1" applyBorder="1" applyAlignment="1">
      <alignment horizontal="left"/>
    </xf>
    <xf numFmtId="0" fontId="38" fillId="58" borderId="38" xfId="108" applyFont="1" applyFill="1" applyBorder="1"/>
    <xf numFmtId="0" fontId="38" fillId="58" borderId="37" xfId="108" applyFont="1" applyFill="1" applyBorder="1"/>
    <xf numFmtId="0" fontId="38" fillId="58" borderId="36" xfId="108" applyFont="1" applyFill="1" applyBorder="1"/>
    <xf numFmtId="0" fontId="38" fillId="58" borderId="26" xfId="108" applyFont="1" applyFill="1" applyBorder="1"/>
    <xf numFmtId="0" fontId="38" fillId="34" borderId="38" xfId="108" applyFont="1" applyFill="1" applyBorder="1"/>
    <xf numFmtId="0" fontId="38" fillId="34" borderId="36" xfId="108" applyFont="1" applyFill="1" applyBorder="1" applyAlignment="1">
      <alignment horizontal="left"/>
    </xf>
    <xf numFmtId="0" fontId="38" fillId="34" borderId="34" xfId="108" applyFont="1" applyFill="1" applyBorder="1"/>
    <xf numFmtId="0" fontId="38" fillId="34" borderId="28" xfId="108" applyFont="1" applyFill="1" applyBorder="1"/>
    <xf numFmtId="0" fontId="38" fillId="34" borderId="23" xfId="108" applyFont="1" applyFill="1" applyBorder="1"/>
    <xf numFmtId="0" fontId="38" fillId="34" borderId="40" xfId="108" applyFont="1" applyFill="1" applyBorder="1"/>
    <xf numFmtId="0" fontId="38" fillId="36" borderId="13" xfId="108" applyFont="1" applyFill="1" applyBorder="1" applyAlignment="1">
      <alignment horizontal="left"/>
    </xf>
    <xf numFmtId="0" fontId="38" fillId="0" borderId="23" xfId="108" applyFont="1" applyBorder="1"/>
    <xf numFmtId="0" fontId="38" fillId="56" borderId="23" xfId="108" applyFont="1" applyFill="1" applyBorder="1"/>
    <xf numFmtId="0" fontId="43" fillId="0" borderId="0" xfId="108" applyFont="1"/>
    <xf numFmtId="0" fontId="38" fillId="0" borderId="0" xfId="108" applyFont="1" applyFill="1"/>
    <xf numFmtId="0" fontId="38" fillId="47" borderId="11" xfId="108" applyFont="1" applyFill="1" applyBorder="1"/>
    <xf numFmtId="0" fontId="38" fillId="47" borderId="21" xfId="108" applyFont="1" applyFill="1" applyBorder="1"/>
    <xf numFmtId="0" fontId="38" fillId="47" borderId="32" xfId="108" applyFont="1" applyFill="1" applyBorder="1"/>
    <xf numFmtId="0" fontId="38" fillId="47" borderId="12" xfId="108" applyFont="1" applyFill="1" applyBorder="1"/>
    <xf numFmtId="0" fontId="38" fillId="47" borderId="19" xfId="108" applyFont="1" applyFill="1" applyBorder="1"/>
    <xf numFmtId="0" fontId="38" fillId="0" borderId="0" xfId="108" applyFont="1" applyFill="1" applyBorder="1"/>
    <xf numFmtId="0" fontId="38" fillId="0" borderId="25" xfId="108" applyFont="1" applyBorder="1"/>
    <xf numFmtId="0" fontId="38" fillId="54" borderId="12" xfId="108" applyFont="1" applyFill="1" applyBorder="1"/>
    <xf numFmtId="0" fontId="41" fillId="0" borderId="0" xfId="108" applyFont="1" applyBorder="1" applyAlignment="1">
      <alignment horizontal="left"/>
    </xf>
    <xf numFmtId="0" fontId="38" fillId="54" borderId="29" xfId="108" applyFont="1" applyFill="1" applyBorder="1"/>
    <xf numFmtId="0" fontId="38" fillId="54" borderId="13" xfId="108" applyFont="1" applyFill="1" applyBorder="1"/>
    <xf numFmtId="0" fontId="38" fillId="0" borderId="31" xfId="108" applyFont="1" applyBorder="1"/>
    <xf numFmtId="0" fontId="38" fillId="0" borderId="20" xfId="108" applyFont="1" applyBorder="1"/>
    <xf numFmtId="0" fontId="38" fillId="54" borderId="31" xfId="108" applyFont="1" applyFill="1" applyBorder="1"/>
    <xf numFmtId="0" fontId="38" fillId="57" borderId="19" xfId="108" applyFont="1" applyFill="1" applyBorder="1"/>
    <xf numFmtId="0" fontId="38" fillId="57" borderId="12" xfId="108" applyFont="1" applyFill="1" applyBorder="1" applyAlignment="1">
      <alignment horizontal="left"/>
    </xf>
    <xf numFmtId="0" fontId="38" fillId="35" borderId="29" xfId="108" applyFont="1" applyFill="1" applyBorder="1"/>
    <xf numFmtId="0" fontId="38" fillId="35" borderId="28" xfId="108" applyFont="1" applyFill="1" applyBorder="1"/>
    <xf numFmtId="0" fontId="38" fillId="35" borderId="0" xfId="108" applyFont="1" applyFill="1" applyBorder="1"/>
    <xf numFmtId="0" fontId="38" fillId="35" borderId="33" xfId="108" applyFont="1" applyFill="1" applyBorder="1"/>
    <xf numFmtId="0" fontId="38" fillId="35" borderId="12" xfId="108" applyFont="1" applyFill="1" applyBorder="1"/>
    <xf numFmtId="0" fontId="38" fillId="0" borderId="0" xfId="108" applyFont="1" applyFill="1" applyBorder="1" applyAlignment="1">
      <alignment horizontal="left" vertical="center"/>
    </xf>
    <xf numFmtId="0" fontId="38" fillId="35" borderId="22" xfId="108" applyFont="1" applyFill="1" applyBorder="1"/>
    <xf numFmtId="0" fontId="38" fillId="35" borderId="40" xfId="108" applyFont="1" applyFill="1" applyBorder="1"/>
    <xf numFmtId="0" fontId="38" fillId="57" borderId="41" xfId="108" applyFont="1" applyFill="1" applyBorder="1"/>
    <xf numFmtId="0" fontId="38" fillId="52" borderId="12" xfId="108" applyFont="1" applyFill="1" applyBorder="1"/>
    <xf numFmtId="0" fontId="38" fillId="0" borderId="0" xfId="108" applyFont="1" applyBorder="1" applyAlignment="1">
      <alignment horizontal="left"/>
    </xf>
    <xf numFmtId="0" fontId="38" fillId="52" borderId="29" xfId="108" applyFont="1" applyFill="1" applyBorder="1"/>
    <xf numFmtId="0" fontId="38" fillId="52" borderId="27" xfId="108" applyFont="1" applyFill="1" applyBorder="1"/>
    <xf numFmtId="0" fontId="38" fillId="52" borderId="31" xfId="108" applyFont="1" applyFill="1" applyBorder="1"/>
    <xf numFmtId="0" fontId="38" fillId="57" borderId="30" xfId="108" applyFont="1" applyFill="1" applyBorder="1"/>
    <xf numFmtId="0" fontId="38" fillId="46" borderId="12" xfId="108" applyFont="1" applyFill="1" applyBorder="1"/>
    <xf numFmtId="0" fontId="38" fillId="36" borderId="0" xfId="108" applyFont="1" applyFill="1" applyBorder="1" applyAlignment="1">
      <alignment horizontal="left"/>
    </xf>
    <xf numFmtId="0" fontId="38" fillId="46" borderId="29" xfId="108" applyFont="1" applyFill="1" applyBorder="1"/>
    <xf numFmtId="0" fontId="38" fillId="46" borderId="27" xfId="108" applyFont="1" applyFill="1" applyBorder="1"/>
    <xf numFmtId="0" fontId="38" fillId="0" borderId="0" xfId="108" applyFont="1" applyBorder="1" applyAlignment="1">
      <alignment horizontal="right"/>
    </xf>
    <xf numFmtId="0" fontId="41" fillId="46" borderId="25" xfId="108" applyFont="1" applyFill="1" applyBorder="1"/>
    <xf numFmtId="0" fontId="38" fillId="57" borderId="24" xfId="108" applyFont="1" applyFill="1" applyBorder="1"/>
    <xf numFmtId="0" fontId="38" fillId="58" borderId="37" xfId="108" applyFont="1" applyFill="1" applyBorder="1" applyAlignment="1">
      <alignment horizontal="right"/>
    </xf>
    <xf numFmtId="0" fontId="38" fillId="34" borderId="29" xfId="108" applyFont="1" applyFill="1" applyBorder="1" applyAlignment="1"/>
    <xf numFmtId="0" fontId="38" fillId="34" borderId="12" xfId="108" applyFont="1" applyFill="1" applyBorder="1"/>
    <xf numFmtId="0" fontId="38" fillId="58" borderId="23" xfId="108" applyFont="1" applyFill="1" applyBorder="1" applyAlignment="1">
      <alignment horizontal="left"/>
    </xf>
    <xf numFmtId="0" fontId="38" fillId="34" borderId="22" xfId="108" applyFont="1" applyFill="1" applyBorder="1" applyAlignment="1">
      <alignment horizontal="left"/>
    </xf>
    <xf numFmtId="0" fontId="38" fillId="34" borderId="40" xfId="108" applyFont="1" applyFill="1" applyBorder="1" applyAlignment="1">
      <alignment horizontal="left"/>
    </xf>
    <xf numFmtId="0" fontId="38" fillId="56" borderId="38" xfId="108" applyFont="1" applyFill="1" applyBorder="1" applyAlignment="1">
      <alignment horizontal="left"/>
    </xf>
    <xf numFmtId="0" fontId="38" fillId="56" borderId="36" xfId="108" applyFont="1" applyFill="1" applyBorder="1"/>
    <xf numFmtId="0" fontId="38" fillId="34" borderId="26" xfId="108" applyFont="1" applyFill="1" applyBorder="1"/>
    <xf numFmtId="0" fontId="38" fillId="34" borderId="0" xfId="108" applyFont="1" applyFill="1" applyBorder="1"/>
    <xf numFmtId="0" fontId="38" fillId="34" borderId="33" xfId="108" applyFont="1" applyFill="1" applyBorder="1"/>
    <xf numFmtId="0" fontId="37" fillId="91" borderId="29" xfId="0" applyFont="1" applyFill="1" applyBorder="1"/>
    <xf numFmtId="0" fontId="37" fillId="91" borderId="28" xfId="0" applyFont="1" applyFill="1" applyBorder="1"/>
    <xf numFmtId="0" fontId="37" fillId="91" borderId="13" xfId="0" applyFont="1" applyFill="1" applyBorder="1"/>
    <xf numFmtId="0" fontId="37" fillId="91" borderId="31" xfId="0" applyFont="1" applyFill="1" applyBorder="1"/>
    <xf numFmtId="0" fontId="37" fillId="84" borderId="0" xfId="0" applyFont="1" applyFill="1" applyBorder="1"/>
    <xf numFmtId="0" fontId="37" fillId="55" borderId="28" xfId="0" applyFont="1" applyFill="1" applyBorder="1"/>
    <xf numFmtId="0" fontId="38" fillId="0" borderId="26" xfId="108" applyFont="1" applyFill="1" applyBorder="1"/>
    <xf numFmtId="0" fontId="38" fillId="0" borderId="33" xfId="108" applyFont="1" applyFill="1" applyBorder="1"/>
    <xf numFmtId="0" fontId="38" fillId="0" borderId="23" xfId="108" applyFont="1" applyFill="1" applyBorder="1"/>
    <xf numFmtId="0" fontId="38" fillId="0" borderId="38" xfId="108" applyFont="1" applyFill="1" applyBorder="1"/>
    <xf numFmtId="0" fontId="38" fillId="0" borderId="26" xfId="108" applyFont="1" applyFill="1" applyBorder="1" applyAlignment="1">
      <alignment horizontal="center"/>
    </xf>
    <xf numFmtId="0" fontId="38" fillId="0" borderId="26" xfId="108" applyFont="1" applyFill="1" applyBorder="1" applyAlignment="1">
      <alignment horizontal="left"/>
    </xf>
    <xf numFmtId="0" fontId="38" fillId="0" borderId="37" xfId="108" applyFont="1" applyFill="1" applyBorder="1"/>
    <xf numFmtId="0" fontId="38" fillId="0" borderId="36" xfId="108" applyFont="1" applyFill="1" applyBorder="1"/>
    <xf numFmtId="0" fontId="38" fillId="71" borderId="12" xfId="108" applyFont="1" applyFill="1" applyBorder="1"/>
    <xf numFmtId="0" fontId="27" fillId="0" borderId="0" xfId="0" applyFont="1"/>
    <xf numFmtId="14" fontId="27" fillId="0" borderId="0" xfId="0" applyNumberFormat="1" applyFont="1"/>
    <xf numFmtId="0" fontId="37" fillId="59" borderId="0" xfId="0" applyFont="1" applyFill="1" applyBorder="1"/>
    <xf numFmtId="0" fontId="37" fillId="89" borderId="28" xfId="0" applyFont="1" applyFill="1" applyBorder="1"/>
    <xf numFmtId="0" fontId="38" fillId="91" borderId="12" xfId="108" applyFont="1" applyFill="1" applyBorder="1"/>
    <xf numFmtId="0" fontId="38" fillId="35" borderId="36" xfId="108" applyFont="1" applyFill="1" applyBorder="1"/>
    <xf numFmtId="0" fontId="38" fillId="35" borderId="38" xfId="108" applyFont="1" applyFill="1" applyBorder="1"/>
    <xf numFmtId="0" fontId="38" fillId="35" borderId="37" xfId="108" applyFont="1" applyFill="1" applyBorder="1"/>
    <xf numFmtId="0" fontId="38" fillId="35" borderId="35" xfId="108" applyFont="1" applyFill="1" applyBorder="1"/>
    <xf numFmtId="0" fontId="38" fillId="35" borderId="20" xfId="108" applyFont="1" applyFill="1" applyBorder="1"/>
    <xf numFmtId="0" fontId="38" fillId="67" borderId="34" xfId="108" applyFont="1" applyFill="1" applyBorder="1"/>
    <xf numFmtId="0" fontId="38" fillId="67" borderId="28" xfId="108" applyFont="1" applyFill="1" applyBorder="1"/>
    <xf numFmtId="0" fontId="38" fillId="67" borderId="26" xfId="108" applyFont="1" applyFill="1" applyBorder="1"/>
    <xf numFmtId="0" fontId="38" fillId="71" borderId="19" xfId="108" applyFont="1" applyFill="1" applyBorder="1"/>
    <xf numFmtId="0" fontId="38" fillId="91" borderId="19" xfId="108" applyFont="1" applyFill="1" applyBorder="1"/>
    <xf numFmtId="0" fontId="38" fillId="34" borderId="33" xfId="108" applyFont="1" applyFill="1" applyBorder="1" applyAlignment="1">
      <alignment horizontal="left"/>
    </xf>
    <xf numFmtId="0" fontId="38" fillId="71" borderId="42" xfId="108" applyFont="1" applyFill="1" applyBorder="1"/>
    <xf numFmtId="0" fontId="38" fillId="36" borderId="43" xfId="108" applyFont="1" applyFill="1" applyBorder="1"/>
    <xf numFmtId="0" fontId="38" fillId="91" borderId="18" xfId="108" applyFont="1" applyFill="1" applyBorder="1"/>
    <xf numFmtId="0" fontId="37" fillId="55" borderId="19" xfId="0" applyFont="1" applyFill="1" applyBorder="1"/>
    <xf numFmtId="0" fontId="38" fillId="35" borderId="19" xfId="108" applyFont="1" applyFill="1" applyBorder="1"/>
    <xf numFmtId="0" fontId="32" fillId="67" borderId="19" xfId="0" applyFont="1" applyFill="1" applyBorder="1"/>
    <xf numFmtId="0" fontId="38" fillId="34" borderId="37" xfId="108" applyFont="1" applyFill="1" applyBorder="1" applyAlignment="1">
      <alignment horizontal="left"/>
    </xf>
    <xf numFmtId="0" fontId="38" fillId="34" borderId="23" xfId="108" applyFont="1" applyFill="1" applyBorder="1" applyAlignment="1">
      <alignment horizontal="left"/>
    </xf>
    <xf numFmtId="0" fontId="38" fillId="59" borderId="44" xfId="108" applyFont="1" applyFill="1" applyBorder="1"/>
    <xf numFmtId="0" fontId="37" fillId="59" borderId="45" xfId="0" applyFont="1" applyFill="1" applyBorder="1"/>
    <xf numFmtId="0" fontId="38" fillId="59" borderId="45" xfId="108" applyFont="1" applyFill="1" applyBorder="1"/>
    <xf numFmtId="0" fontId="38" fillId="59" borderId="46" xfId="108" applyFont="1" applyFill="1" applyBorder="1"/>
    <xf numFmtId="0" fontId="37" fillId="84" borderId="34" xfId="0" applyFont="1" applyFill="1" applyBorder="1"/>
    <xf numFmtId="0" fontId="37" fillId="84" borderId="27" xfId="0" applyFont="1" applyFill="1" applyBorder="1"/>
    <xf numFmtId="0" fontId="37" fillId="84" borderId="26" xfId="0" applyFont="1" applyFill="1" applyBorder="1"/>
    <xf numFmtId="0" fontId="37" fillId="84" borderId="33" xfId="0" applyFont="1" applyFill="1" applyBorder="1"/>
    <xf numFmtId="0" fontId="32" fillId="55" borderId="34" xfId="0" applyFont="1" applyFill="1" applyBorder="1"/>
    <xf numFmtId="0" fontId="37" fillId="55" borderId="27" xfId="0" applyFont="1" applyFill="1" applyBorder="1"/>
    <xf numFmtId="0" fontId="37" fillId="55" borderId="23" xfId="0" applyFont="1" applyFill="1" applyBorder="1"/>
    <xf numFmtId="0" fontId="37" fillId="55" borderId="40" xfId="0" applyFont="1" applyFill="1" applyBorder="1"/>
    <xf numFmtId="0" fontId="39" fillId="0" borderId="0" xfId="108" applyFont="1" applyAlignment="1">
      <alignment horizontal="center"/>
    </xf>
    <xf numFmtId="0" fontId="38" fillId="71" borderId="0" xfId="108" applyFont="1" applyFill="1" applyBorder="1" applyAlignment="1">
      <alignment horizontal="left"/>
    </xf>
    <xf numFmtId="0" fontId="38" fillId="71" borderId="33" xfId="108" applyFont="1" applyFill="1" applyBorder="1" applyAlignment="1">
      <alignment horizontal="left"/>
    </xf>
    <xf numFmtId="0" fontId="32" fillId="71" borderId="38" xfId="0" applyFont="1" applyFill="1" applyBorder="1"/>
    <xf numFmtId="0" fontId="32" fillId="71" borderId="37" xfId="0" applyFont="1" applyFill="1" applyBorder="1"/>
    <xf numFmtId="0" fontId="38" fillId="71" borderId="37" xfId="108" applyFont="1" applyFill="1" applyBorder="1" applyAlignment="1">
      <alignment horizontal="left"/>
    </xf>
    <xf numFmtId="0" fontId="38" fillId="71" borderId="36" xfId="108" applyFont="1" applyFill="1" applyBorder="1" applyAlignment="1">
      <alignment horizontal="left"/>
    </xf>
    <xf numFmtId="0" fontId="32" fillId="71" borderId="23" xfId="0" applyFont="1" applyFill="1" applyBorder="1"/>
    <xf numFmtId="0" fontId="32" fillId="71" borderId="40" xfId="0" applyFont="1" applyFill="1" applyBorder="1"/>
    <xf numFmtId="0" fontId="38" fillId="71" borderId="40" xfId="108" applyFont="1" applyFill="1" applyBorder="1" applyAlignment="1">
      <alignment horizontal="left"/>
    </xf>
    <xf numFmtId="0" fontId="27" fillId="92" borderId="0" xfId="0" applyFont="1" applyFill="1"/>
    <xf numFmtId="14" fontId="28" fillId="92" borderId="0" xfId="0" applyNumberFormat="1" applyFont="1" applyFill="1"/>
    <xf numFmtId="0" fontId="38" fillId="0" borderId="0" xfId="108" applyFont="1" applyFill="1" applyBorder="1" applyAlignment="1">
      <alignment horizontal="center"/>
    </xf>
    <xf numFmtId="0" fontId="38" fillId="0" borderId="0" xfId="108" applyFont="1" applyFill="1" applyBorder="1" applyAlignment="1">
      <alignment horizontal="left"/>
    </xf>
    <xf numFmtId="0" fontId="39" fillId="0" borderId="0" xfId="108" applyFont="1" applyFill="1" applyBorder="1"/>
    <xf numFmtId="0" fontId="39" fillId="0" borderId="0" xfId="108" applyFont="1" applyFill="1" applyBorder="1" applyAlignment="1">
      <alignment horizontal="center"/>
    </xf>
    <xf numFmtId="0" fontId="41" fillId="0" borderId="0" xfId="108" applyFont="1" applyFill="1" applyBorder="1"/>
    <xf numFmtId="0" fontId="40" fillId="0" borderId="0" xfId="108" applyFont="1" applyFill="1" applyBorder="1" applyAlignment="1">
      <alignment horizontal="center"/>
    </xf>
    <xf numFmtId="0" fontId="37" fillId="0" borderId="0" xfId="0" applyFont="1" applyFill="1" applyBorder="1"/>
    <xf numFmtId="0" fontId="42" fillId="0" borderId="0" xfId="108" applyFont="1" applyFill="1" applyBorder="1" applyAlignment="1">
      <alignment vertical="center"/>
    </xf>
    <xf numFmtId="0" fontId="38" fillId="0" borderId="0" xfId="108" applyFont="1" applyFill="1" applyBorder="1" applyAlignment="1">
      <alignment horizontal="right"/>
    </xf>
    <xf numFmtId="0" fontId="32" fillId="0" borderId="0" xfId="0" applyFont="1" applyFill="1" applyBorder="1"/>
    <xf numFmtId="0" fontId="33" fillId="0" borderId="0" xfId="0" applyFont="1"/>
    <xf numFmtId="0" fontId="27" fillId="0" borderId="19" xfId="0" applyFont="1" applyBorder="1"/>
    <xf numFmtId="0" fontId="27" fillId="91" borderId="19" xfId="0" applyFont="1" applyFill="1" applyBorder="1" applyAlignment="1">
      <alignment horizontal="center"/>
    </xf>
    <xf numFmtId="0" fontId="27" fillId="91" borderId="0" xfId="0" applyFont="1" applyFill="1"/>
    <xf numFmtId="0" fontId="27" fillId="37" borderId="0" xfId="0" applyFont="1" applyFill="1"/>
    <xf numFmtId="0" fontId="27" fillId="37" borderId="19" xfId="0" applyFont="1" applyFill="1" applyBorder="1" applyAlignment="1">
      <alignment horizontal="center"/>
    </xf>
    <xf numFmtId="0" fontId="28" fillId="33" borderId="19" xfId="0" applyFont="1" applyFill="1" applyBorder="1"/>
    <xf numFmtId="0" fontId="28" fillId="33" borderId="19" xfId="0" applyFont="1" applyFill="1" applyBorder="1" applyAlignment="1">
      <alignment horizontal="center"/>
    </xf>
    <xf numFmtId="0" fontId="27" fillId="0" borderId="0" xfId="0" quotePrefix="1" applyFont="1"/>
    <xf numFmtId="0" fontId="27" fillId="0" borderId="0" xfId="0" applyFont="1" applyBorder="1"/>
    <xf numFmtId="0" fontId="27" fillId="0" borderId="0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 vertical="center"/>
    </xf>
    <xf numFmtId="0" fontId="27" fillId="0" borderId="0" xfId="0" applyFont="1" applyFill="1"/>
    <xf numFmtId="0" fontId="28" fillId="91" borderId="0" xfId="0" applyFont="1" applyFill="1" applyAlignment="1">
      <alignment horizontal="left"/>
    </xf>
    <xf numFmtId="0" fontId="27" fillId="93" borderId="0" xfId="0" applyFont="1" applyFill="1"/>
    <xf numFmtId="0" fontId="27" fillId="0" borderId="19" xfId="0" applyFont="1" applyBorder="1" applyAlignment="1">
      <alignment horizontal="center"/>
    </xf>
    <xf numFmtId="0" fontId="33" fillId="33" borderId="19" xfId="0" applyFont="1" applyFill="1" applyBorder="1" applyAlignment="1">
      <alignment horizontal="center" wrapText="1"/>
    </xf>
    <xf numFmtId="0" fontId="33" fillId="35" borderId="0" xfId="0" applyFont="1" applyFill="1"/>
    <xf numFmtId="0" fontId="38" fillId="59" borderId="0" xfId="108" applyFont="1" applyFill="1" applyBorder="1"/>
    <xf numFmtId="0" fontId="38" fillId="71" borderId="0" xfId="108" applyFont="1" applyFill="1" applyBorder="1"/>
    <xf numFmtId="0" fontId="38" fillId="84" borderId="0" xfId="108" applyFont="1" applyFill="1" applyBorder="1"/>
    <xf numFmtId="0" fontId="38" fillId="55" borderId="0" xfId="108" applyFont="1" applyFill="1" applyBorder="1"/>
    <xf numFmtId="0" fontId="38" fillId="60" borderId="0" xfId="108" applyFont="1" applyFill="1" applyBorder="1"/>
    <xf numFmtId="0" fontId="38" fillId="0" borderId="29" xfId="108" applyFont="1" applyFill="1" applyBorder="1"/>
    <xf numFmtId="0" fontId="38" fillId="0" borderId="28" xfId="108" applyFont="1" applyFill="1" applyBorder="1"/>
    <xf numFmtId="0" fontId="38" fillId="60" borderId="28" xfId="108" applyFont="1" applyFill="1" applyBorder="1"/>
    <xf numFmtId="0" fontId="38" fillId="0" borderId="13" xfId="108" applyFont="1" applyFill="1" applyBorder="1"/>
    <xf numFmtId="0" fontId="38" fillId="0" borderId="14" xfId="108" applyFont="1" applyFill="1" applyBorder="1"/>
    <xf numFmtId="0" fontId="38" fillId="91" borderId="20" xfId="108" applyFont="1" applyFill="1" applyBorder="1"/>
    <xf numFmtId="0" fontId="38" fillId="0" borderId="39" xfId="108" applyFont="1" applyFill="1" applyBorder="1"/>
    <xf numFmtId="0" fontId="38" fillId="0" borderId="29" xfId="108" applyFont="1" applyBorder="1"/>
    <xf numFmtId="0" fontId="38" fillId="71" borderId="28" xfId="108" applyFont="1" applyFill="1" applyBorder="1"/>
    <xf numFmtId="0" fontId="38" fillId="0" borderId="13" xfId="108" applyFont="1" applyBorder="1"/>
    <xf numFmtId="0" fontId="38" fillId="0" borderId="14" xfId="108" applyFont="1" applyBorder="1"/>
    <xf numFmtId="0" fontId="38" fillId="34" borderId="20" xfId="108" applyFont="1" applyFill="1" applyBorder="1"/>
    <xf numFmtId="0" fontId="38" fillId="94" borderId="0" xfId="108" applyFont="1" applyFill="1" applyBorder="1"/>
    <xf numFmtId="0" fontId="38" fillId="0" borderId="25" xfId="108" applyFont="1" applyFill="1" applyBorder="1"/>
    <xf numFmtId="0" fontId="38" fillId="0" borderId="16" xfId="108" applyFont="1" applyFill="1" applyBorder="1"/>
    <xf numFmtId="0" fontId="38" fillId="89" borderId="19" xfId="108" applyFont="1" applyFill="1" applyBorder="1"/>
    <xf numFmtId="0" fontId="38" fillId="55" borderId="19" xfId="108" applyFont="1" applyFill="1" applyBorder="1"/>
    <xf numFmtId="0" fontId="38" fillId="60" borderId="19" xfId="108" applyFont="1" applyFill="1" applyBorder="1"/>
    <xf numFmtId="0" fontId="38" fillId="34" borderId="19" xfId="108" applyFont="1" applyFill="1" applyBorder="1"/>
    <xf numFmtId="0" fontId="38" fillId="84" borderId="12" xfId="108" applyFont="1" applyFill="1" applyBorder="1"/>
    <xf numFmtId="0" fontId="38" fillId="59" borderId="16" xfId="108" applyFont="1" applyFill="1" applyBorder="1"/>
    <xf numFmtId="0" fontId="38" fillId="0" borderId="0" xfId="108" applyFont="1" applyFill="1" applyBorder="1" applyAlignment="1"/>
    <xf numFmtId="0" fontId="38" fillId="94" borderId="19" xfId="108" applyFont="1" applyFill="1" applyBorder="1"/>
    <xf numFmtId="0" fontId="44" fillId="0" borderId="0" xfId="108" applyFont="1" applyFill="1" applyBorder="1"/>
    <xf numFmtId="0" fontId="38" fillId="0" borderId="17" xfId="108" applyFont="1" applyFill="1" applyBorder="1"/>
    <xf numFmtId="0" fontId="38" fillId="0" borderId="17" xfId="108" applyFont="1" applyFill="1" applyBorder="1" applyAlignment="1">
      <alignment horizontal="left" vertical="center"/>
    </xf>
    <xf numFmtId="0" fontId="44" fillId="0" borderId="25" xfId="108" applyFont="1" applyFill="1" applyBorder="1"/>
    <xf numFmtId="0" fontId="38" fillId="0" borderId="17" xfId="108" applyFont="1" applyBorder="1"/>
    <xf numFmtId="0" fontId="38" fillId="0" borderId="29" xfId="108" applyFont="1" applyBorder="1" applyAlignment="1"/>
    <xf numFmtId="0" fontId="45" fillId="0" borderId="19" xfId="108" applyFont="1" applyFill="1" applyBorder="1"/>
    <xf numFmtId="0" fontId="45" fillId="0" borderId="16" xfId="108" applyFont="1" applyFill="1" applyBorder="1"/>
    <xf numFmtId="0" fontId="38" fillId="0" borderId="25" xfId="108" applyFont="1" applyBorder="1" applyAlignment="1"/>
    <xf numFmtId="0" fontId="41" fillId="0" borderId="0" xfId="108" applyFont="1" applyBorder="1"/>
    <xf numFmtId="0" fontId="39" fillId="0" borderId="47" xfId="108" applyFont="1" applyBorder="1"/>
    <xf numFmtId="0" fontId="33" fillId="33" borderId="19" xfId="0" applyFont="1" applyFill="1" applyBorder="1" applyAlignment="1">
      <alignment horizontal="center" vertical="top"/>
    </xf>
    <xf numFmtId="0" fontId="27" fillId="33" borderId="19" xfId="0" applyFont="1" applyFill="1" applyBorder="1" applyAlignment="1">
      <alignment horizontal="center"/>
    </xf>
    <xf numFmtId="0" fontId="27" fillId="0" borderId="19" xfId="0" applyFont="1" applyBorder="1" applyAlignment="1">
      <alignment horizontal="center" wrapText="1"/>
    </xf>
    <xf numFmtId="0" fontId="33" fillId="71" borderId="0" xfId="0" applyFont="1" applyFill="1"/>
    <xf numFmtId="0" fontId="27" fillId="71" borderId="0" xfId="0" applyFont="1" applyFill="1"/>
    <xf numFmtId="0" fontId="33" fillId="33" borderId="19" xfId="0" applyFont="1" applyFill="1" applyBorder="1" applyAlignment="1">
      <alignment horizontal="center" vertical="top" wrapText="1"/>
    </xf>
    <xf numFmtId="0" fontId="38" fillId="0" borderId="0" xfId="108" applyFont="1" applyFill="1" applyBorder="1" applyAlignment="1">
      <alignment horizontal="left" vertical="center"/>
    </xf>
    <xf numFmtId="0" fontId="39" fillId="0" borderId="0" xfId="108" applyFont="1" applyBorder="1"/>
    <xf numFmtId="0" fontId="38" fillId="0" borderId="19" xfId="108" applyFont="1" applyFill="1" applyBorder="1"/>
    <xf numFmtId="0" fontId="32" fillId="89" borderId="19" xfId="0" applyFont="1" applyFill="1" applyBorder="1"/>
    <xf numFmtId="0" fontId="32" fillId="85" borderId="19" xfId="0" applyFont="1" applyFill="1" applyBorder="1"/>
    <xf numFmtId="0" fontId="32" fillId="60" borderId="19" xfId="0" applyFont="1" applyFill="1" applyBorder="1"/>
    <xf numFmtId="0" fontId="32" fillId="91" borderId="19" xfId="0" applyFont="1" applyFill="1" applyBorder="1"/>
    <xf numFmtId="0" fontId="32" fillId="70" borderId="19" xfId="0" applyFont="1" applyFill="1" applyBorder="1"/>
    <xf numFmtId="0" fontId="38" fillId="0" borderId="19" xfId="108" applyFont="1" applyFill="1" applyBorder="1" applyAlignment="1">
      <alignment horizontal="left" vertical="center"/>
    </xf>
    <xf numFmtId="0" fontId="32" fillId="35" borderId="19" xfId="0" applyFont="1" applyFill="1" applyBorder="1"/>
    <xf numFmtId="0" fontId="32" fillId="91" borderId="17" xfId="0" applyFont="1" applyFill="1" applyBorder="1"/>
    <xf numFmtId="0" fontId="38" fillId="71" borderId="17" xfId="108" applyFont="1" applyFill="1" applyBorder="1"/>
    <xf numFmtId="0" fontId="38" fillId="0" borderId="18" xfId="108" applyFont="1" applyBorder="1" applyAlignment="1">
      <alignment wrapText="1"/>
    </xf>
    <xf numFmtId="0" fontId="38" fillId="0" borderId="16" xfId="108" applyFont="1" applyBorder="1"/>
    <xf numFmtId="0" fontId="38" fillId="0" borderId="18" xfId="108" applyFont="1" applyBorder="1" applyAlignment="1"/>
    <xf numFmtId="0" fontId="38" fillId="0" borderId="25" xfId="108" applyFont="1" applyBorder="1" applyAlignment="1">
      <alignment vertical="top"/>
    </xf>
    <xf numFmtId="0" fontId="38" fillId="0" borderId="17" xfId="108" applyFont="1" applyBorder="1" applyAlignment="1">
      <alignment vertical="top"/>
    </xf>
    <xf numFmtId="0" fontId="38" fillId="0" borderId="17" xfId="108" applyFont="1" applyBorder="1" applyAlignment="1"/>
    <xf numFmtId="0" fontId="39" fillId="0" borderId="0" xfId="108" quotePrefix="1" applyFont="1" applyFill="1" applyBorder="1" applyAlignment="1">
      <alignment horizontal="center" vertical="center"/>
    </xf>
    <xf numFmtId="0" fontId="41" fillId="0" borderId="17" xfId="108" applyFont="1" applyFill="1" applyBorder="1" applyAlignment="1"/>
    <xf numFmtId="0" fontId="46" fillId="0" borderId="29" xfId="108" applyFont="1" applyBorder="1" applyAlignment="1"/>
    <xf numFmtId="0" fontId="46" fillId="34" borderId="19" xfId="108" applyFont="1" applyFill="1" applyBorder="1"/>
    <xf numFmtId="0" fontId="38" fillId="91" borderId="12" xfId="108" applyFont="1" applyFill="1" applyBorder="1" applyAlignment="1">
      <alignment horizontal="left"/>
    </xf>
    <xf numFmtId="0" fontId="38" fillId="0" borderId="11" xfId="108" applyFont="1" applyFill="1" applyBorder="1" applyAlignment="1">
      <alignment horizontal="left"/>
    </xf>
    <xf numFmtId="0" fontId="32" fillId="0" borderId="0" xfId="0" applyFont="1" applyFill="1" applyAlignment="1">
      <alignment horizontal="left" vertical="top" wrapText="1"/>
    </xf>
    <xf numFmtId="0" fontId="32" fillId="0" borderId="0" xfId="0" applyFont="1" applyFill="1" applyAlignment="1">
      <alignment horizontal="left" vertical="top"/>
    </xf>
    <xf numFmtId="0" fontId="32" fillId="0" borderId="0" xfId="0" applyFont="1" applyFill="1" applyAlignment="1">
      <alignment wrapText="1"/>
    </xf>
    <xf numFmtId="0" fontId="0" fillId="0" borderId="0" xfId="0" applyFill="1"/>
    <xf numFmtId="0" fontId="0" fillId="55" borderId="0" xfId="0" applyFill="1"/>
    <xf numFmtId="0" fontId="32" fillId="0" borderId="0" xfId="0" applyFont="1" applyFill="1" applyAlignment="1">
      <alignment vertical="top"/>
    </xf>
    <xf numFmtId="0" fontId="32" fillId="95" borderId="0" xfId="0" applyFont="1" applyFill="1" applyAlignment="1">
      <alignment horizontal="left" vertical="top" wrapText="1"/>
    </xf>
    <xf numFmtId="0" fontId="32" fillId="96" borderId="0" xfId="0" applyFont="1" applyFill="1" applyAlignment="1">
      <alignment horizontal="left" vertical="top" wrapText="1"/>
    </xf>
    <xf numFmtId="0" fontId="32" fillId="95" borderId="0" xfId="0" applyFont="1" applyFill="1"/>
    <xf numFmtId="0" fontId="32" fillId="96" borderId="0" xfId="0" applyFont="1" applyFill="1"/>
    <xf numFmtId="0" fontId="32" fillId="95" borderId="0" xfId="0" applyFont="1" applyFill="1" applyAlignment="1">
      <alignment horizontal="left" vertical="top"/>
    </xf>
    <xf numFmtId="0" fontId="32" fillId="96" borderId="0" xfId="0" applyFont="1" applyFill="1" applyAlignment="1">
      <alignment wrapText="1"/>
    </xf>
    <xf numFmtId="0" fontId="28" fillId="34" borderId="0" xfId="0" applyFont="1" applyFill="1" applyBorder="1" applyAlignment="1">
      <alignment horizontal="left" wrapText="1"/>
    </xf>
    <xf numFmtId="0" fontId="33" fillId="34" borderId="20" xfId="0" applyFont="1" applyFill="1" applyBorder="1" applyAlignment="1">
      <alignment horizontal="center" vertical="center" wrapText="1"/>
    </xf>
    <xf numFmtId="0" fontId="33" fillId="34" borderId="19" xfId="0" applyFont="1" applyFill="1" applyBorder="1" applyAlignment="1">
      <alignment horizontal="center" vertical="top" wrapText="1"/>
    </xf>
    <xf numFmtId="0" fontId="32" fillId="59" borderId="0" xfId="0" applyFont="1" applyFill="1" applyAlignment="1">
      <alignment horizontal="left" vertical="top" wrapText="1"/>
    </xf>
    <xf numFmtId="0" fontId="37" fillId="98" borderId="0" xfId="0" applyFont="1" applyFill="1"/>
    <xf numFmtId="0" fontId="37" fillId="99" borderId="0" xfId="0" applyFont="1" applyFill="1"/>
    <xf numFmtId="0" fontId="48" fillId="0" borderId="0" xfId="0" applyFont="1"/>
    <xf numFmtId="0" fontId="48" fillId="0" borderId="0" xfId="0" applyFont="1" applyAlignment="1">
      <alignment horizontal="center"/>
    </xf>
    <xf numFmtId="0" fontId="32" fillId="0" borderId="0" xfId="0" applyFont="1" applyAlignment="1">
      <alignment horizontal="right" vertical="center"/>
    </xf>
    <xf numFmtId="0" fontId="49" fillId="0" borderId="0" xfId="0" applyFont="1" applyAlignment="1">
      <alignment textRotation="90"/>
    </xf>
    <xf numFmtId="0" fontId="32" fillId="0" borderId="0" xfId="0" applyFont="1" applyFill="1" applyBorder="1" applyAlignment="1">
      <alignment vertical="center"/>
    </xf>
    <xf numFmtId="0" fontId="32" fillId="0" borderId="0" xfId="0" applyFont="1" applyAlignment="1">
      <alignment vertical="center"/>
    </xf>
    <xf numFmtId="0" fontId="47" fillId="34" borderId="19" xfId="0" applyFont="1" applyFill="1" applyBorder="1" applyAlignment="1">
      <alignment horizontal="center" vertical="center"/>
    </xf>
    <xf numFmtId="0" fontId="32" fillId="60" borderId="19" xfId="0" applyFont="1" applyFill="1" applyBorder="1" applyAlignment="1">
      <alignment horizontal="center" vertical="center"/>
    </xf>
    <xf numFmtId="0" fontId="32" fillId="60" borderId="19" xfId="0" applyFont="1" applyFill="1" applyBorder="1" applyAlignment="1">
      <alignment horizontal="center"/>
    </xf>
    <xf numFmtId="0" fontId="47" fillId="59" borderId="19" xfId="0" applyFont="1" applyFill="1" applyBorder="1" applyAlignment="1">
      <alignment horizontal="center" vertical="center"/>
    </xf>
    <xf numFmtId="0" fontId="47" fillId="99" borderId="19" xfId="0" applyFont="1" applyFill="1" applyBorder="1" applyAlignment="1">
      <alignment horizontal="center" vertical="center"/>
    </xf>
    <xf numFmtId="0" fontId="47" fillId="98" borderId="19" xfId="0" applyFont="1" applyFill="1" applyBorder="1" applyAlignment="1">
      <alignment horizontal="center" vertical="center"/>
    </xf>
    <xf numFmtId="0" fontId="27" fillId="0" borderId="19" xfId="0" applyFont="1" applyBorder="1" applyAlignment="1">
      <alignment horizontal="center"/>
    </xf>
    <xf numFmtId="0" fontId="32" fillId="91" borderId="19" xfId="0" applyFont="1" applyFill="1" applyBorder="1" applyAlignment="1">
      <alignment horizontal="center"/>
    </xf>
    <xf numFmtId="0" fontId="27" fillId="60" borderId="0" xfId="0" quotePrefix="1" applyFont="1" applyFill="1"/>
    <xf numFmtId="0" fontId="27" fillId="60" borderId="0" xfId="0" applyFont="1" applyFill="1"/>
    <xf numFmtId="0" fontId="27" fillId="60" borderId="19" xfId="0" applyFont="1" applyFill="1" applyBorder="1" applyAlignment="1">
      <alignment horizontal="center"/>
    </xf>
    <xf numFmtId="0" fontId="47" fillId="34" borderId="17" xfId="0" applyFont="1" applyFill="1" applyBorder="1" applyAlignment="1">
      <alignment horizontal="center" vertical="center"/>
    </xf>
    <xf numFmtId="0" fontId="51" fillId="34" borderId="17" xfId="0" applyFont="1" applyFill="1" applyBorder="1" applyAlignment="1">
      <alignment horizontal="center" vertical="center"/>
    </xf>
    <xf numFmtId="0" fontId="0" fillId="0" borderId="0" xfId="0" applyFill="1" applyBorder="1"/>
    <xf numFmtId="0" fontId="48" fillId="97" borderId="17" xfId="0" applyFont="1" applyFill="1" applyBorder="1" applyAlignment="1">
      <alignment horizontal="center"/>
    </xf>
    <xf numFmtId="0" fontId="0" fillId="97" borderId="17" xfId="0" applyFill="1" applyBorder="1"/>
    <xf numFmtId="0" fontId="32" fillId="97" borderId="17" xfId="0" applyFont="1" applyFill="1" applyBorder="1" applyAlignment="1">
      <alignment horizontal="right" vertical="center"/>
    </xf>
    <xf numFmtId="0" fontId="0" fillId="97" borderId="16" xfId="0" applyFill="1" applyBorder="1"/>
    <xf numFmtId="0" fontId="47" fillId="97" borderId="18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right"/>
    </xf>
    <xf numFmtId="0" fontId="52" fillId="0" borderId="0" xfId="0" applyFont="1"/>
    <xf numFmtId="0" fontId="37" fillId="100" borderId="0" xfId="0" applyFont="1" applyFill="1"/>
    <xf numFmtId="0" fontId="32" fillId="100" borderId="19" xfId="0" applyFont="1" applyFill="1" applyBorder="1"/>
    <xf numFmtId="0" fontId="32" fillId="100" borderId="19" xfId="0" applyFont="1" applyFill="1" applyBorder="1" applyAlignment="1">
      <alignment horizontal="center"/>
    </xf>
    <xf numFmtId="0" fontId="0" fillId="34" borderId="17" xfId="0" applyFill="1" applyBorder="1"/>
    <xf numFmtId="0" fontId="0" fillId="34" borderId="16" xfId="0" applyFill="1" applyBorder="1"/>
    <xf numFmtId="0" fontId="32" fillId="34" borderId="17" xfId="0" quotePrefix="1" applyFont="1" applyFill="1" applyBorder="1" applyAlignment="1">
      <alignment horizontal="left" vertical="center"/>
    </xf>
    <xf numFmtId="0" fontId="47" fillId="34" borderId="17" xfId="0" applyFont="1" applyFill="1" applyBorder="1" applyAlignment="1">
      <alignment vertical="center" wrapText="1"/>
    </xf>
    <xf numFmtId="0" fontId="51" fillId="34" borderId="18" xfId="0" applyFont="1" applyFill="1" applyBorder="1" applyAlignment="1">
      <alignment horizontal="center" vertical="center" wrapText="1"/>
    </xf>
    <xf numFmtId="0" fontId="50" fillId="101" borderId="0" xfId="0" applyFont="1" applyFill="1"/>
    <xf numFmtId="0" fontId="49" fillId="0" borderId="0" xfId="0" applyFont="1" applyAlignment="1">
      <alignment horizontal="right" textRotation="90"/>
    </xf>
    <xf numFmtId="0" fontId="32" fillId="0" borderId="18" xfId="0" applyFont="1" applyFill="1" applyBorder="1" applyAlignment="1">
      <alignment horizontal="left" vertical="center"/>
    </xf>
    <xf numFmtId="0" fontId="32" fillId="0" borderId="17" xfId="0" applyFont="1" applyFill="1" applyBorder="1" applyAlignment="1">
      <alignment horizontal="right" vertical="center"/>
    </xf>
    <xf numFmtId="0" fontId="0" fillId="0" borderId="17" xfId="0" applyFill="1" applyBorder="1"/>
    <xf numFmtId="0" fontId="32" fillId="0" borderId="17" xfId="0" applyFont="1" applyFill="1" applyBorder="1" applyAlignment="1">
      <alignment horizontal="left" vertical="center"/>
    </xf>
    <xf numFmtId="0" fontId="32" fillId="34" borderId="17" xfId="0" applyFont="1" applyFill="1" applyBorder="1" applyAlignment="1">
      <alignment horizontal="right"/>
    </xf>
    <xf numFmtId="0" fontId="47" fillId="34" borderId="16" xfId="0" applyFont="1" applyFill="1" applyBorder="1" applyAlignment="1">
      <alignment vertical="center"/>
    </xf>
    <xf numFmtId="0" fontId="47" fillId="34" borderId="17" xfId="0" applyFont="1" applyFill="1" applyBorder="1" applyAlignment="1">
      <alignment vertical="center"/>
    </xf>
    <xf numFmtId="0" fontId="32" fillId="67" borderId="0" xfId="0" applyFont="1" applyFill="1"/>
    <xf numFmtId="0" fontId="54" fillId="34" borderId="19" xfId="0" applyFont="1" applyFill="1" applyBorder="1" applyAlignment="1">
      <alignment horizontal="center" vertical="center"/>
    </xf>
    <xf numFmtId="0" fontId="32" fillId="67" borderId="19" xfId="0" applyFont="1" applyFill="1" applyBorder="1" applyAlignment="1">
      <alignment horizontal="center"/>
    </xf>
    <xf numFmtId="0" fontId="51" fillId="34" borderId="17" xfId="0" applyFont="1" applyFill="1" applyBorder="1" applyAlignment="1">
      <alignment horizontal="center" vertical="center" wrapText="1"/>
    </xf>
    <xf numFmtId="0" fontId="32" fillId="91" borderId="19" xfId="0" applyFont="1" applyFill="1" applyBorder="1" applyAlignment="1">
      <alignment horizontal="center" vertical="center"/>
    </xf>
    <xf numFmtId="0" fontId="53" fillId="0" borderId="0" xfId="0" applyFont="1" applyFill="1" applyAlignment="1">
      <alignment horizontal="right" vertical="center"/>
    </xf>
    <xf numFmtId="0" fontId="32" fillId="91" borderId="16" xfId="0" applyFont="1" applyFill="1" applyBorder="1" applyAlignment="1">
      <alignment horizontal="center" vertical="center"/>
    </xf>
    <xf numFmtId="0" fontId="32" fillId="97" borderId="17" xfId="0" applyFont="1" applyFill="1" applyBorder="1"/>
    <xf numFmtId="0" fontId="47" fillId="34" borderId="17" xfId="0" applyFont="1" applyFill="1" applyBorder="1" applyAlignment="1">
      <alignment horizontal="center" wrapText="1"/>
    </xf>
    <xf numFmtId="0" fontId="51" fillId="34" borderId="18" xfId="0" applyFont="1" applyFill="1" applyBorder="1" applyAlignment="1">
      <alignment horizontal="center" wrapText="1"/>
    </xf>
    <xf numFmtId="0" fontId="32" fillId="0" borderId="16" xfId="0" applyFont="1" applyFill="1" applyBorder="1" applyAlignment="1">
      <alignment horizontal="left" vertical="center"/>
    </xf>
    <xf numFmtId="0" fontId="48" fillId="0" borderId="0" xfId="0" applyFont="1" applyAlignment="1">
      <alignment horizontal="left"/>
    </xf>
    <xf numFmtId="0" fontId="32" fillId="71" borderId="19" xfId="0" applyFont="1" applyFill="1" applyBorder="1" applyAlignment="1">
      <alignment horizontal="center" vertical="center"/>
    </xf>
    <xf numFmtId="0" fontId="32" fillId="71" borderId="16" xfId="0" applyFont="1" applyFill="1" applyBorder="1"/>
    <xf numFmtId="0" fontId="32" fillId="37" borderId="16" xfId="0" applyFont="1" applyFill="1" applyBorder="1"/>
    <xf numFmtId="0" fontId="32" fillId="37" borderId="19" xfId="0" applyFont="1" applyFill="1" applyBorder="1" applyAlignment="1">
      <alignment horizontal="center" vertical="center"/>
    </xf>
    <xf numFmtId="0" fontId="32" fillId="37" borderId="17" xfId="0" applyFont="1" applyFill="1" applyBorder="1"/>
    <xf numFmtId="0" fontId="47" fillId="34" borderId="18" xfId="0" applyFont="1" applyFill="1" applyBorder="1" applyAlignment="1">
      <alignment horizontal="center" vertical="center"/>
    </xf>
    <xf numFmtId="0" fontId="51" fillId="34" borderId="18" xfId="0" applyFont="1" applyFill="1" applyBorder="1" applyAlignment="1">
      <alignment horizontal="center" vertical="center"/>
    </xf>
    <xf numFmtId="0" fontId="47" fillId="34" borderId="17" xfId="0" applyFont="1" applyFill="1" applyBorder="1" applyAlignment="1">
      <alignment horizontal="center" vertical="center" wrapText="1"/>
    </xf>
    <xf numFmtId="0" fontId="47" fillId="60" borderId="17" xfId="0" applyFont="1" applyFill="1" applyBorder="1" applyAlignment="1">
      <alignment horizontal="center" vertical="center" wrapText="1"/>
    </xf>
    <xf numFmtId="0" fontId="47" fillId="60" borderId="16" xfId="0" applyFont="1" applyFill="1" applyBorder="1" applyAlignment="1">
      <alignment horizontal="center" vertical="center" wrapText="1"/>
    </xf>
    <xf numFmtId="0" fontId="47" fillId="91" borderId="17" xfId="0" applyFont="1" applyFill="1" applyBorder="1" applyAlignment="1">
      <alignment horizontal="center" vertical="center" wrapText="1"/>
    </xf>
    <xf numFmtId="0" fontId="37" fillId="37" borderId="0" xfId="0" applyFont="1" applyFill="1"/>
    <xf numFmtId="0" fontId="37" fillId="102" borderId="0" xfId="0" applyFont="1" applyFill="1"/>
    <xf numFmtId="0" fontId="51" fillId="34" borderId="18" xfId="0" applyFont="1" applyFill="1" applyBorder="1" applyAlignment="1">
      <alignment horizontal="center" vertical="center"/>
    </xf>
    <xf numFmtId="0" fontId="47" fillId="34" borderId="18" xfId="0" applyFont="1" applyFill="1" applyBorder="1" applyAlignment="1">
      <alignment horizontal="center" vertical="center"/>
    </xf>
    <xf numFmtId="0" fontId="47" fillId="34" borderId="16" xfId="0" applyFont="1" applyFill="1" applyBorder="1" applyAlignment="1">
      <alignment horizontal="center" vertical="center"/>
    </xf>
    <xf numFmtId="0" fontId="55" fillId="0" borderId="0" xfId="0" applyFont="1" applyAlignment="1">
      <alignment horizontal="center"/>
    </xf>
    <xf numFmtId="0" fontId="56" fillId="0" borderId="0" xfId="0" applyFont="1"/>
    <xf numFmtId="0" fontId="56" fillId="97" borderId="17" xfId="0" applyFont="1" applyFill="1" applyBorder="1" applyAlignment="1">
      <alignment horizontal="center"/>
    </xf>
    <xf numFmtId="0" fontId="56" fillId="0" borderId="0" xfId="0" applyFont="1" applyAlignment="1">
      <alignment horizontal="center"/>
    </xf>
    <xf numFmtId="0" fontId="32" fillId="0" borderId="17" xfId="0" applyFont="1" applyFill="1" applyBorder="1"/>
    <xf numFmtId="0" fontId="56" fillId="0" borderId="0" xfId="0" applyFont="1" applyAlignment="1">
      <alignment horizontal="center" textRotation="90"/>
    </xf>
    <xf numFmtId="0" fontId="47" fillId="0" borderId="17" xfId="0" applyFont="1" applyFill="1" applyBorder="1" applyAlignment="1">
      <alignment horizontal="right" vertical="center"/>
    </xf>
    <xf numFmtId="0" fontId="47" fillId="0" borderId="17" xfId="0" applyFont="1" applyFill="1" applyBorder="1" applyAlignment="1">
      <alignment horizontal="left" vertical="center"/>
    </xf>
    <xf numFmtId="0" fontId="47" fillId="60" borderId="17" xfId="0" applyFont="1" applyFill="1" applyBorder="1" applyAlignment="1">
      <alignment horizontal="center" vertical="center"/>
    </xf>
    <xf numFmtId="0" fontId="47" fillId="34" borderId="17" xfId="0" applyFont="1" applyFill="1" applyBorder="1" applyAlignment="1">
      <alignment horizontal="right" vertical="center" wrapText="1"/>
    </xf>
    <xf numFmtId="0" fontId="51" fillId="34" borderId="17" xfId="0" quotePrefix="1" applyFont="1" applyFill="1" applyBorder="1" applyAlignment="1">
      <alignment horizontal="center" vertical="center"/>
    </xf>
    <xf numFmtId="0" fontId="0" fillId="0" borderId="17" xfId="0" applyBorder="1"/>
    <xf numFmtId="0" fontId="0" fillId="0" borderId="16" xfId="0" applyBorder="1"/>
    <xf numFmtId="0" fontId="32" fillId="35" borderId="19" xfId="0" applyFont="1" applyFill="1" applyBorder="1" applyAlignment="1">
      <alignment horizontal="center" vertical="center"/>
    </xf>
    <xf numFmtId="0" fontId="47" fillId="34" borderId="17" xfId="0" applyFont="1" applyFill="1" applyBorder="1" applyAlignment="1">
      <alignment horizontal="right" vertical="center"/>
    </xf>
    <xf numFmtId="0" fontId="47" fillId="34" borderId="16" xfId="0" applyFont="1" applyFill="1" applyBorder="1" applyAlignment="1">
      <alignment horizontal="right" vertical="center"/>
    </xf>
    <xf numFmtId="0" fontId="32" fillId="0" borderId="0" xfId="0" applyFont="1" applyFill="1" applyBorder="1" applyAlignment="1">
      <alignment horizontal="center" vertical="center"/>
    </xf>
    <xf numFmtId="0" fontId="51" fillId="34" borderId="18" xfId="0" applyFont="1" applyFill="1" applyBorder="1" applyAlignment="1">
      <alignment horizontal="center" vertical="center"/>
    </xf>
    <xf numFmtId="0" fontId="51" fillId="34" borderId="16" xfId="0" applyFont="1" applyFill="1" applyBorder="1" applyAlignment="1">
      <alignment horizontal="center" vertical="center"/>
    </xf>
    <xf numFmtId="0" fontId="47" fillId="34" borderId="17" xfId="0" applyFont="1" applyFill="1" applyBorder="1" applyAlignment="1">
      <alignment horizontal="center" vertical="center" wrapText="1"/>
    </xf>
    <xf numFmtId="0" fontId="47" fillId="60" borderId="17" xfId="0" applyFont="1" applyFill="1" applyBorder="1" applyAlignment="1">
      <alignment horizontal="center" vertical="center" wrapText="1"/>
    </xf>
    <xf numFmtId="0" fontId="47" fillId="60" borderId="16" xfId="0" applyFont="1" applyFill="1" applyBorder="1" applyAlignment="1">
      <alignment horizontal="center" vertical="center" wrapText="1"/>
    </xf>
    <xf numFmtId="0" fontId="51" fillId="34" borderId="18" xfId="0" applyFont="1" applyFill="1" applyBorder="1" applyAlignment="1">
      <alignment horizontal="center" vertical="center"/>
    </xf>
    <xf numFmtId="0" fontId="51" fillId="34" borderId="16" xfId="0" applyFont="1" applyFill="1" applyBorder="1" applyAlignment="1">
      <alignment horizontal="center" vertical="center"/>
    </xf>
    <xf numFmtId="0" fontId="47" fillId="60" borderId="17" xfId="0" applyFont="1" applyFill="1" applyBorder="1" applyAlignment="1">
      <alignment horizontal="center" vertical="center" wrapText="1"/>
    </xf>
    <xf numFmtId="0" fontId="47" fillId="60" borderId="16" xfId="0" applyFont="1" applyFill="1" applyBorder="1" applyAlignment="1">
      <alignment horizontal="center" vertical="center" wrapText="1"/>
    </xf>
    <xf numFmtId="0" fontId="47" fillId="34" borderId="17" xfId="0" applyFont="1" applyFill="1" applyBorder="1" applyAlignment="1">
      <alignment horizontal="center" vertical="center" wrapText="1"/>
    </xf>
    <xf numFmtId="0" fontId="32" fillId="0" borderId="0" xfId="0" applyFont="1" applyFill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32" fillId="0" borderId="19" xfId="0" applyFont="1" applyFill="1" applyBorder="1" applyAlignment="1">
      <alignment horizontal="right"/>
    </xf>
    <xf numFmtId="0" fontId="32" fillId="0" borderId="18" xfId="0" applyFont="1" applyFill="1" applyBorder="1" applyAlignment="1">
      <alignment horizontal="left"/>
    </xf>
    <xf numFmtId="0" fontId="32" fillId="0" borderId="18" xfId="0" applyFont="1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32" fillId="80" borderId="19" xfId="0" applyFont="1" applyFill="1" applyBorder="1" applyAlignment="1">
      <alignment horizontal="center"/>
    </xf>
    <xf numFmtId="0" fontId="32" fillId="0" borderId="17" xfId="0" applyFont="1" applyFill="1" applyBorder="1" applyAlignment="1">
      <alignment horizontal="right"/>
    </xf>
    <xf numFmtId="0" fontId="32" fillId="0" borderId="17" xfId="0" applyFont="1" applyFill="1" applyBorder="1" applyAlignment="1">
      <alignment horizontal="center"/>
    </xf>
    <xf numFmtId="0" fontId="32" fillId="82" borderId="19" xfId="0" applyFont="1" applyFill="1" applyBorder="1" applyAlignment="1">
      <alignment horizontal="center" vertical="center"/>
    </xf>
    <xf numFmtId="0" fontId="47" fillId="60" borderId="16" xfId="0" applyFont="1" applyFill="1" applyBorder="1" applyAlignment="1">
      <alignment horizontal="center" vertical="center"/>
    </xf>
    <xf numFmtId="0" fontId="47" fillId="60" borderId="16" xfId="0" applyFont="1" applyFill="1" applyBorder="1" applyAlignment="1">
      <alignment horizontal="right" vertical="center"/>
    </xf>
    <xf numFmtId="0" fontId="47" fillId="34" borderId="16" xfId="0" applyFont="1" applyFill="1" applyBorder="1" applyAlignment="1">
      <alignment vertical="center" wrapText="1"/>
    </xf>
    <xf numFmtId="0" fontId="32" fillId="0" borderId="16" xfId="0" applyFont="1" applyFill="1" applyBorder="1" applyAlignment="1">
      <alignment horizontal="right" vertical="center"/>
    </xf>
    <xf numFmtId="0" fontId="32" fillId="0" borderId="16" xfId="0" applyFont="1" applyFill="1" applyBorder="1" applyAlignment="1">
      <alignment horizontal="right"/>
    </xf>
    <xf numFmtId="0" fontId="47" fillId="60" borderId="16" xfId="0" applyFont="1" applyFill="1" applyBorder="1" applyAlignment="1">
      <alignment horizontal="left" vertical="center" wrapText="1"/>
    </xf>
    <xf numFmtId="0" fontId="32" fillId="0" borderId="17" xfId="0" applyFont="1" applyFill="1" applyBorder="1" applyAlignment="1">
      <alignment horizontal="left"/>
    </xf>
    <xf numFmtId="0" fontId="32" fillId="0" borderId="18" xfId="0" applyFont="1" applyFill="1" applyBorder="1" applyAlignment="1">
      <alignment horizontal="right" vertical="center"/>
    </xf>
    <xf numFmtId="0" fontId="32" fillId="60" borderId="17" xfId="0" applyFont="1" applyFill="1" applyBorder="1" applyAlignment="1">
      <alignment horizontal="right"/>
    </xf>
    <xf numFmtId="0" fontId="32" fillId="80" borderId="17" xfId="0" applyFont="1" applyFill="1" applyBorder="1" applyAlignment="1">
      <alignment horizontal="right"/>
    </xf>
    <xf numFmtId="0" fontId="32" fillId="71" borderId="19" xfId="0" applyFont="1" applyFill="1" applyBorder="1" applyAlignment="1">
      <alignment horizontal="left" vertical="center"/>
    </xf>
    <xf numFmtId="0" fontId="32" fillId="80" borderId="16" xfId="0" applyFont="1" applyFill="1" applyBorder="1" applyAlignment="1">
      <alignment horizontal="left"/>
    </xf>
    <xf numFmtId="0" fontId="32" fillId="60" borderId="17" xfId="0" applyFont="1" applyFill="1" applyBorder="1" applyAlignment="1">
      <alignment horizontal="left"/>
    </xf>
    <xf numFmtId="0" fontId="47" fillId="91" borderId="16" xfId="0" applyFont="1" applyFill="1" applyBorder="1" applyAlignment="1">
      <alignment vertical="center" wrapText="1"/>
    </xf>
    <xf numFmtId="0" fontId="32" fillId="80" borderId="16" xfId="0" applyFont="1" applyFill="1" applyBorder="1" applyAlignment="1">
      <alignment horizontal="right"/>
    </xf>
    <xf numFmtId="0" fontId="53" fillId="0" borderId="17" xfId="0" applyFont="1" applyFill="1" applyBorder="1" applyAlignment="1">
      <alignment horizontal="left"/>
    </xf>
    <xf numFmtId="0" fontId="47" fillId="99" borderId="17" xfId="0" applyFont="1" applyFill="1" applyBorder="1" applyAlignment="1">
      <alignment horizontal="right" vertical="center"/>
    </xf>
    <xf numFmtId="0" fontId="47" fillId="59" borderId="19" xfId="0" applyFont="1" applyFill="1" applyBorder="1" applyAlignment="1">
      <alignment horizontal="left" vertical="center"/>
    </xf>
    <xf numFmtId="0" fontId="47" fillId="59" borderId="16" xfId="0" applyFont="1" applyFill="1" applyBorder="1" applyAlignment="1">
      <alignment horizontal="right" vertical="center"/>
    </xf>
    <xf numFmtId="0" fontId="32" fillId="91" borderId="16" xfId="0" applyFont="1" applyFill="1" applyBorder="1" applyAlignment="1">
      <alignment horizontal="left"/>
    </xf>
    <xf numFmtId="0" fontId="53" fillId="67" borderId="47" xfId="0" applyFont="1" applyFill="1" applyBorder="1" applyAlignment="1">
      <alignment horizontal="center"/>
    </xf>
    <xf numFmtId="0" fontId="53" fillId="91" borderId="47" xfId="0" applyFont="1" applyFill="1" applyBorder="1" applyAlignment="1">
      <alignment horizontal="center"/>
    </xf>
    <xf numFmtId="0" fontId="47" fillId="99" borderId="16" xfId="0" applyFont="1" applyFill="1" applyBorder="1" applyAlignment="1">
      <alignment horizontal="center" vertical="center"/>
    </xf>
    <xf numFmtId="0" fontId="53" fillId="100" borderId="47" xfId="0" applyFont="1" applyFill="1" applyBorder="1"/>
    <xf numFmtId="0" fontId="47" fillId="99" borderId="16" xfId="0" applyFont="1" applyFill="1" applyBorder="1" applyAlignment="1">
      <alignment horizontal="left" vertical="center"/>
    </xf>
    <xf numFmtId="0" fontId="51" fillId="98" borderId="47" xfId="0" applyFont="1" applyFill="1" applyBorder="1" applyAlignment="1">
      <alignment horizontal="center" vertical="center"/>
    </xf>
    <xf numFmtId="0" fontId="51" fillId="99" borderId="47" xfId="0" applyFont="1" applyFill="1" applyBorder="1" applyAlignment="1">
      <alignment horizontal="center" vertical="center"/>
    </xf>
    <xf numFmtId="0" fontId="32" fillId="60" borderId="19" xfId="0" applyFont="1" applyFill="1" applyBorder="1" applyAlignment="1">
      <alignment horizontal="left"/>
    </xf>
    <xf numFmtId="0" fontId="47" fillId="91" borderId="17" xfId="0" applyFont="1" applyFill="1" applyBorder="1" applyAlignment="1"/>
    <xf numFmtId="0" fontId="32" fillId="60" borderId="16" xfId="0" applyFont="1" applyFill="1" applyBorder="1" applyAlignment="1">
      <alignment horizontal="left"/>
    </xf>
    <xf numFmtId="0" fontId="53" fillId="91" borderId="47" xfId="0" applyFont="1" applyFill="1" applyBorder="1" applyAlignment="1">
      <alignment horizontal="center" vertical="center"/>
    </xf>
    <xf numFmtId="0" fontId="32" fillId="100" borderId="47" xfId="0" applyFont="1" applyFill="1" applyBorder="1"/>
    <xf numFmtId="0" fontId="37" fillId="103" borderId="0" xfId="0" applyFont="1" applyFill="1"/>
    <xf numFmtId="0" fontId="37" fillId="104" borderId="0" xfId="0" applyFont="1" applyFill="1"/>
    <xf numFmtId="0" fontId="37" fillId="105" borderId="0" xfId="0" applyFont="1" applyFill="1"/>
    <xf numFmtId="0" fontId="32" fillId="105" borderId="19" xfId="0" applyFont="1" applyFill="1" applyBorder="1" applyAlignment="1">
      <alignment horizontal="center" vertical="center"/>
    </xf>
    <xf numFmtId="0" fontId="32" fillId="103" borderId="19" xfId="0" applyFont="1" applyFill="1" applyBorder="1" applyAlignment="1">
      <alignment horizontal="center" vertical="center"/>
    </xf>
    <xf numFmtId="0" fontId="32" fillId="85" borderId="0" xfId="0" applyFont="1" applyFill="1"/>
    <xf numFmtId="0" fontId="32" fillId="99" borderId="0" xfId="0" applyFont="1" applyFill="1"/>
    <xf numFmtId="0" fontId="32" fillId="98" borderId="0" xfId="0" applyFont="1" applyFill="1"/>
    <xf numFmtId="0" fontId="32" fillId="60" borderId="0" xfId="0" applyFont="1" applyFill="1"/>
    <xf numFmtId="0" fontId="32" fillId="91" borderId="0" xfId="0" applyFont="1" applyFill="1"/>
    <xf numFmtId="0" fontId="32" fillId="104" borderId="0" xfId="0" applyFont="1" applyFill="1"/>
    <xf numFmtId="0" fontId="32" fillId="106" borderId="0" xfId="0" applyFont="1" applyFill="1"/>
    <xf numFmtId="0" fontId="59" fillId="0" borderId="0" xfId="110" applyFont="1"/>
    <xf numFmtId="0" fontId="60" fillId="107" borderId="19" xfId="110" applyFont="1" applyFill="1" applyBorder="1"/>
    <xf numFmtId="0" fontId="60" fillId="107" borderId="0" xfId="110" applyFont="1" applyFill="1" applyBorder="1"/>
    <xf numFmtId="0" fontId="61" fillId="107" borderId="19" xfId="110" applyFont="1" applyFill="1" applyBorder="1" applyAlignment="1">
      <alignment vertical="center"/>
    </xf>
    <xf numFmtId="14" fontId="61" fillId="107" borderId="19" xfId="110" applyNumberFormat="1" applyFont="1" applyFill="1" applyBorder="1" applyAlignment="1">
      <alignment vertical="center"/>
    </xf>
    <xf numFmtId="0" fontId="59" fillId="0" borderId="14" xfId="110" applyFont="1" applyBorder="1" applyAlignment="1">
      <alignment vertical="center"/>
    </xf>
    <xf numFmtId="0" fontId="62" fillId="4" borderId="19" xfId="111" applyBorder="1"/>
    <xf numFmtId="0" fontId="58" fillId="108" borderId="19" xfId="112" applyFill="1" applyBorder="1"/>
    <xf numFmtId="14" fontId="58" fillId="108" borderId="19" xfId="112" applyNumberFormat="1" applyFill="1" applyBorder="1"/>
    <xf numFmtId="164" fontId="58" fillId="108" borderId="19" xfId="112" applyNumberFormat="1" applyFill="1" applyBorder="1"/>
    <xf numFmtId="0" fontId="3" fillId="0" borderId="0" xfId="110" applyFill="1" applyBorder="1"/>
    <xf numFmtId="0" fontId="3" fillId="0" borderId="0" xfId="110"/>
    <xf numFmtId="0" fontId="58" fillId="0" borderId="0" xfId="113"/>
    <xf numFmtId="0" fontId="59" fillId="0" borderId="14" xfId="110" applyFont="1" applyBorder="1" applyAlignment="1">
      <alignment horizontal="left" vertical="center"/>
    </xf>
    <xf numFmtId="0" fontId="3" fillId="108" borderId="19" xfId="110" applyFill="1" applyBorder="1"/>
    <xf numFmtId="14" fontId="3" fillId="108" borderId="19" xfId="110" applyNumberFormat="1" applyFill="1" applyBorder="1"/>
    <xf numFmtId="0" fontId="58" fillId="0" borderId="0" xfId="113" applyFill="1" applyBorder="1"/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  <xf numFmtId="0" fontId="27" fillId="0" borderId="0" xfId="0" applyFont="1" applyAlignment="1">
      <alignment wrapText="1"/>
    </xf>
    <xf numFmtId="0" fontId="32" fillId="96" borderId="0" xfId="0" applyFont="1" applyFill="1" applyAlignment="1">
      <alignment horizontal="left" vertical="top"/>
    </xf>
    <xf numFmtId="0" fontId="32" fillId="0" borderId="0" xfId="0" applyFont="1" applyFill="1" applyBorder="1" applyAlignment="1">
      <alignment horizontal="center" vertical="center"/>
    </xf>
    <xf numFmtId="0" fontId="32" fillId="80" borderId="0" xfId="0" applyFont="1" applyFill="1"/>
    <xf numFmtId="0" fontId="32" fillId="82" borderId="0" xfId="0" applyFont="1" applyFill="1"/>
    <xf numFmtId="0" fontId="28" fillId="34" borderId="0" xfId="0" applyFont="1" applyFill="1" applyBorder="1" applyAlignment="1">
      <alignment horizontal="center" vertical="center" wrapText="1"/>
    </xf>
    <xf numFmtId="0" fontId="28" fillId="34" borderId="20" xfId="0" applyFont="1" applyFill="1" applyBorder="1" applyAlignment="1">
      <alignment horizontal="center" vertical="center" wrapText="1"/>
    </xf>
    <xf numFmtId="0" fontId="28" fillId="34" borderId="31" xfId="0" applyFont="1" applyFill="1" applyBorder="1" applyAlignment="1">
      <alignment horizontal="left" vertical="top" wrapText="1"/>
    </xf>
    <xf numFmtId="0" fontId="28" fillId="34" borderId="20" xfId="0" applyFont="1" applyFill="1" applyBorder="1" applyAlignment="1">
      <alignment horizontal="left" vertical="top" wrapText="1"/>
    </xf>
    <xf numFmtId="0" fontId="38" fillId="36" borderId="18" xfId="108" applyFont="1" applyFill="1" applyBorder="1" applyAlignment="1">
      <alignment horizontal="left" vertical="center"/>
    </xf>
    <xf numFmtId="0" fontId="38" fillId="36" borderId="16" xfId="108" applyFont="1" applyFill="1" applyBorder="1" applyAlignment="1">
      <alignment horizontal="left" vertical="center"/>
    </xf>
    <xf numFmtId="0" fontId="38" fillId="71" borderId="26" xfId="108" applyFont="1" applyFill="1" applyBorder="1" applyAlignment="1">
      <alignment horizontal="left"/>
    </xf>
    <xf numFmtId="0" fontId="38" fillId="71" borderId="0" xfId="108" applyFont="1" applyFill="1" applyBorder="1" applyAlignment="1">
      <alignment horizontal="left"/>
    </xf>
    <xf numFmtId="0" fontId="38" fillId="34" borderId="38" xfId="108" applyFont="1" applyFill="1" applyBorder="1" applyAlignment="1">
      <alignment horizontal="left"/>
    </xf>
    <xf numFmtId="0" fontId="38" fillId="34" borderId="37" xfId="108" applyFont="1" applyFill="1" applyBorder="1" applyAlignment="1">
      <alignment horizontal="left"/>
    </xf>
    <xf numFmtId="0" fontId="40" fillId="0" borderId="38" xfId="108" applyFont="1" applyBorder="1" applyAlignment="1">
      <alignment horizontal="center"/>
    </xf>
    <xf numFmtId="0" fontId="40" fillId="0" borderId="37" xfId="108" applyFont="1" applyBorder="1" applyAlignment="1">
      <alignment horizontal="center"/>
    </xf>
    <xf numFmtId="0" fontId="40" fillId="0" borderId="36" xfId="108" applyFont="1" applyBorder="1" applyAlignment="1">
      <alignment horizontal="center"/>
    </xf>
    <xf numFmtId="0" fontId="38" fillId="57" borderId="18" xfId="108" applyFont="1" applyFill="1" applyBorder="1" applyAlignment="1">
      <alignment horizontal="left" vertical="center"/>
    </xf>
    <xf numFmtId="0" fontId="38" fillId="57" borderId="16" xfId="108" applyFont="1" applyFill="1" applyBorder="1" applyAlignment="1">
      <alignment horizontal="left" vertical="center"/>
    </xf>
    <xf numFmtId="0" fontId="38" fillId="57" borderId="19" xfId="108" applyFont="1" applyFill="1" applyBorder="1" applyAlignment="1">
      <alignment horizontal="left" vertical="center"/>
    </xf>
    <xf numFmtId="0" fontId="38" fillId="57" borderId="17" xfId="108" applyFont="1" applyFill="1" applyBorder="1" applyAlignment="1">
      <alignment horizontal="left" vertical="center"/>
    </xf>
    <xf numFmtId="0" fontId="38" fillId="0" borderId="0" xfId="108" applyFont="1" applyFill="1" applyBorder="1" applyAlignment="1">
      <alignment horizontal="left" vertical="center"/>
    </xf>
    <xf numFmtId="0" fontId="40" fillId="0" borderId="0" xfId="108" applyFont="1" applyFill="1" applyBorder="1" applyAlignment="1">
      <alignment horizontal="center"/>
    </xf>
    <xf numFmtId="0" fontId="38" fillId="0" borderId="0" xfId="108" applyFont="1" applyFill="1" applyBorder="1" applyAlignment="1">
      <alignment horizontal="left"/>
    </xf>
    <xf numFmtId="0" fontId="38" fillId="34" borderId="11" xfId="108" applyFont="1" applyFill="1" applyBorder="1" applyAlignment="1">
      <alignment horizontal="left"/>
    </xf>
    <xf numFmtId="0" fontId="38" fillId="34" borderId="21" xfId="108" applyFont="1" applyFill="1" applyBorder="1" applyAlignment="1">
      <alignment horizontal="left"/>
    </xf>
    <xf numFmtId="0" fontId="38" fillId="34" borderId="12" xfId="108" applyFont="1" applyFill="1" applyBorder="1" applyAlignment="1">
      <alignment horizontal="left"/>
    </xf>
    <xf numFmtId="0" fontId="38" fillId="91" borderId="11" xfId="108" applyFont="1" applyFill="1" applyBorder="1" applyAlignment="1">
      <alignment horizontal="left"/>
    </xf>
    <xf numFmtId="0" fontId="38" fillId="91" borderId="12" xfId="108" applyFont="1" applyFill="1" applyBorder="1" applyAlignment="1">
      <alignment horizontal="left"/>
    </xf>
    <xf numFmtId="0" fontId="38" fillId="0" borderId="11" xfId="108" applyFont="1" applyFill="1" applyBorder="1" applyAlignment="1">
      <alignment horizontal="left"/>
    </xf>
    <xf numFmtId="0" fontId="38" fillId="0" borderId="21" xfId="108" applyFont="1" applyFill="1" applyBorder="1" applyAlignment="1">
      <alignment horizontal="left"/>
    </xf>
    <xf numFmtId="0" fontId="38" fillId="0" borderId="12" xfId="108" applyFont="1" applyFill="1" applyBorder="1" applyAlignment="1">
      <alignment horizontal="left"/>
    </xf>
    <xf numFmtId="0" fontId="38" fillId="0" borderId="11" xfId="108" applyFont="1" applyBorder="1" applyAlignment="1">
      <alignment horizontal="left"/>
    </xf>
    <xf numFmtId="0" fontId="38" fillId="0" borderId="21" xfId="108" applyFont="1" applyBorder="1" applyAlignment="1">
      <alignment horizontal="left"/>
    </xf>
    <xf numFmtId="0" fontId="38" fillId="0" borderId="12" xfId="108" applyFont="1" applyBorder="1" applyAlignment="1">
      <alignment horizontal="left"/>
    </xf>
    <xf numFmtId="0" fontId="38" fillId="71" borderId="11" xfId="108" applyFont="1" applyFill="1" applyBorder="1" applyAlignment="1">
      <alignment horizontal="left"/>
    </xf>
    <xf numFmtId="0" fontId="38" fillId="71" borderId="21" xfId="108" applyFont="1" applyFill="1" applyBorder="1" applyAlignment="1">
      <alignment horizontal="left"/>
    </xf>
    <xf numFmtId="0" fontId="38" fillId="71" borderId="12" xfId="108" applyFont="1" applyFill="1" applyBorder="1" applyAlignment="1">
      <alignment horizontal="left"/>
    </xf>
    <xf numFmtId="0" fontId="38" fillId="35" borderId="11" xfId="108" applyFont="1" applyFill="1" applyBorder="1" applyAlignment="1">
      <alignment horizontal="left"/>
    </xf>
    <xf numFmtId="0" fontId="38" fillId="35" borderId="21" xfId="108" applyFont="1" applyFill="1" applyBorder="1" applyAlignment="1">
      <alignment horizontal="left"/>
    </xf>
    <xf numFmtId="0" fontId="38" fillId="35" borderId="12" xfId="108" applyFont="1" applyFill="1" applyBorder="1" applyAlignment="1">
      <alignment horizontal="left"/>
    </xf>
    <xf numFmtId="0" fontId="38" fillId="94" borderId="11" xfId="108" applyFont="1" applyFill="1" applyBorder="1" applyAlignment="1">
      <alignment horizontal="left"/>
    </xf>
    <xf numFmtId="0" fontId="38" fillId="94" borderId="21" xfId="108" applyFont="1" applyFill="1" applyBorder="1" applyAlignment="1">
      <alignment horizontal="left"/>
    </xf>
    <xf numFmtId="0" fontId="38" fillId="94" borderId="12" xfId="108" applyFont="1" applyFill="1" applyBorder="1" applyAlignment="1">
      <alignment horizontal="left"/>
    </xf>
    <xf numFmtId="0" fontId="39" fillId="0" borderId="48" xfId="108" applyFont="1" applyBorder="1" applyAlignment="1">
      <alignment horizontal="left"/>
    </xf>
    <xf numFmtId="0" fontId="39" fillId="0" borderId="49" xfId="108" applyFont="1" applyBorder="1" applyAlignment="1">
      <alignment horizontal="left"/>
    </xf>
    <xf numFmtId="0" fontId="39" fillId="0" borderId="50" xfId="108" applyFont="1" applyBorder="1" applyAlignment="1">
      <alignment horizontal="left"/>
    </xf>
    <xf numFmtId="0" fontId="38" fillId="71" borderId="18" xfId="108" applyFont="1" applyFill="1" applyBorder="1" applyAlignment="1">
      <alignment horizontal="left" vertical="center"/>
    </xf>
    <xf numFmtId="0" fontId="38" fillId="71" borderId="16" xfId="108" applyFont="1" applyFill="1" applyBorder="1" applyAlignment="1">
      <alignment horizontal="left" vertical="center"/>
    </xf>
    <xf numFmtId="0" fontId="38" fillId="59" borderId="31" xfId="108" applyFont="1" applyFill="1" applyBorder="1" applyAlignment="1">
      <alignment horizontal="left"/>
    </xf>
    <xf numFmtId="0" fontId="38" fillId="59" borderId="20" xfId="108" applyFont="1" applyFill="1" applyBorder="1" applyAlignment="1">
      <alignment horizontal="left"/>
    </xf>
    <xf numFmtId="0" fontId="38" fillId="59" borderId="39" xfId="108" applyFont="1" applyFill="1" applyBorder="1" applyAlignment="1">
      <alignment horizontal="left"/>
    </xf>
    <xf numFmtId="0" fontId="38" fillId="89" borderId="11" xfId="108" applyFont="1" applyFill="1" applyBorder="1" applyAlignment="1">
      <alignment horizontal="left"/>
    </xf>
    <xf numFmtId="0" fontId="38" fillId="89" borderId="21" xfId="108" applyFont="1" applyFill="1" applyBorder="1" applyAlignment="1">
      <alignment horizontal="left"/>
    </xf>
    <xf numFmtId="0" fontId="38" fillId="89" borderId="12" xfId="108" applyFont="1" applyFill="1" applyBorder="1" applyAlignment="1">
      <alignment horizontal="left"/>
    </xf>
    <xf numFmtId="0" fontId="38" fillId="84" borderId="11" xfId="108" applyFont="1" applyFill="1" applyBorder="1" applyAlignment="1">
      <alignment horizontal="left"/>
    </xf>
    <xf numFmtId="0" fontId="38" fillId="84" borderId="21" xfId="108" applyFont="1" applyFill="1" applyBorder="1" applyAlignment="1">
      <alignment horizontal="left"/>
    </xf>
    <xf numFmtId="0" fontId="38" fillId="84" borderId="12" xfId="108" applyFont="1" applyFill="1" applyBorder="1" applyAlignment="1">
      <alignment horizontal="left"/>
    </xf>
    <xf numFmtId="0" fontId="38" fillId="36" borderId="11" xfId="108" applyFont="1" applyFill="1" applyBorder="1" applyAlignment="1">
      <alignment horizontal="left"/>
    </xf>
    <xf numFmtId="0" fontId="38" fillId="36" borderId="21" xfId="108" applyFont="1" applyFill="1" applyBorder="1" applyAlignment="1">
      <alignment horizontal="left"/>
    </xf>
    <xf numFmtId="0" fontId="38" fillId="36" borderId="12" xfId="108" applyFont="1" applyFill="1" applyBorder="1" applyAlignment="1">
      <alignment horizontal="left"/>
    </xf>
    <xf numFmtId="0" fontId="38" fillId="60" borderId="11" xfId="108" applyFont="1" applyFill="1" applyBorder="1" applyAlignment="1">
      <alignment horizontal="left"/>
    </xf>
    <xf numFmtId="0" fontId="38" fillId="60" borderId="12" xfId="108" applyFont="1" applyFill="1" applyBorder="1" applyAlignment="1">
      <alignment horizontal="left"/>
    </xf>
    <xf numFmtId="0" fontId="38" fillId="55" borderId="11" xfId="108" applyFont="1" applyFill="1" applyBorder="1" applyAlignment="1">
      <alignment horizontal="left"/>
    </xf>
    <xf numFmtId="0" fontId="38" fillId="55" borderId="21" xfId="108" applyFont="1" applyFill="1" applyBorder="1" applyAlignment="1">
      <alignment horizontal="left"/>
    </xf>
    <xf numFmtId="0" fontId="38" fillId="55" borderId="12" xfId="108" applyFont="1" applyFill="1" applyBorder="1" applyAlignment="1">
      <alignment horizontal="left"/>
    </xf>
    <xf numFmtId="0" fontId="46" fillId="34" borderId="11" xfId="108" applyFont="1" applyFill="1" applyBorder="1" applyAlignment="1">
      <alignment horizontal="left"/>
    </xf>
    <xf numFmtId="0" fontId="46" fillId="34" borderId="21" xfId="108" applyFont="1" applyFill="1" applyBorder="1" applyAlignment="1">
      <alignment horizontal="left"/>
    </xf>
    <xf numFmtId="0" fontId="46" fillId="34" borderId="12" xfId="108" applyFont="1" applyFill="1" applyBorder="1" applyAlignment="1">
      <alignment horizontal="left"/>
    </xf>
    <xf numFmtId="0" fontId="38" fillId="0" borderId="18" xfId="108" applyFont="1" applyBorder="1" applyAlignment="1">
      <alignment horizontal="left" vertical="top"/>
    </xf>
    <xf numFmtId="0" fontId="38" fillId="0" borderId="17" xfId="108" applyFont="1" applyBorder="1" applyAlignment="1">
      <alignment horizontal="left" vertical="top"/>
    </xf>
    <xf numFmtId="0" fontId="38" fillId="0" borderId="16" xfId="108" applyFont="1" applyBorder="1" applyAlignment="1">
      <alignment horizontal="left" vertical="top"/>
    </xf>
    <xf numFmtId="0" fontId="28" fillId="36" borderId="0" xfId="0" applyFont="1" applyFill="1" applyBorder="1" applyAlignment="1">
      <alignment horizontal="center" vertical="top"/>
    </xf>
    <xf numFmtId="0" fontId="0" fillId="36" borderId="0" xfId="0" applyFill="1" applyBorder="1" applyAlignment="1">
      <alignment horizontal="center" vertical="top"/>
    </xf>
    <xf numFmtId="0" fontId="0" fillId="46" borderId="15" xfId="0" applyFill="1" applyBorder="1" applyAlignment="1">
      <alignment horizontal="left" vertical="center"/>
    </xf>
    <xf numFmtId="0" fontId="0" fillId="46" borderId="16" xfId="0" applyFill="1" applyBorder="1" applyAlignment="1">
      <alignment horizontal="left" vertical="center"/>
    </xf>
    <xf numFmtId="0" fontId="0" fillId="39" borderId="15" xfId="0" applyFill="1" applyBorder="1" applyAlignment="1">
      <alignment horizontal="left" vertical="center"/>
    </xf>
    <xf numFmtId="0" fontId="0" fillId="39" borderId="16" xfId="0" applyFill="1" applyBorder="1" applyAlignment="1">
      <alignment horizontal="left" vertical="center"/>
    </xf>
    <xf numFmtId="0" fontId="0" fillId="46" borderId="19" xfId="0" applyFill="1" applyBorder="1" applyAlignment="1">
      <alignment horizontal="left" vertical="center"/>
    </xf>
    <xf numFmtId="0" fontId="0" fillId="44" borderId="15" xfId="0" applyFill="1" applyBorder="1" applyAlignment="1">
      <alignment horizontal="left" vertical="center"/>
    </xf>
    <xf numFmtId="0" fontId="0" fillId="44" borderId="16" xfId="0" applyFill="1" applyBorder="1" applyAlignment="1">
      <alignment horizontal="left" vertical="center"/>
    </xf>
    <xf numFmtId="0" fontId="0" fillId="45" borderId="15" xfId="0" applyFill="1" applyBorder="1" applyAlignment="1">
      <alignment horizontal="left" vertical="center"/>
    </xf>
    <xf numFmtId="0" fontId="0" fillId="45" borderId="16" xfId="0" applyFill="1" applyBorder="1" applyAlignment="1">
      <alignment horizontal="left" vertical="center"/>
    </xf>
    <xf numFmtId="0" fontId="0" fillId="54" borderId="15" xfId="0" applyFill="1" applyBorder="1" applyAlignment="1">
      <alignment horizontal="left" vertical="center"/>
    </xf>
    <xf numFmtId="0" fontId="0" fillId="54" borderId="16" xfId="0" applyFill="1" applyBorder="1" applyAlignment="1">
      <alignment horizontal="left" vertical="center"/>
    </xf>
    <xf numFmtId="0" fontId="26" fillId="42" borderId="15" xfId="0" applyFont="1" applyFill="1" applyBorder="1" applyAlignment="1">
      <alignment vertical="center"/>
    </xf>
    <xf numFmtId="0" fontId="26" fillId="42" borderId="17" xfId="0" applyFont="1" applyFill="1" applyBorder="1" applyAlignment="1">
      <alignment vertical="center"/>
    </xf>
    <xf numFmtId="0" fontId="26" fillId="42" borderId="16" xfId="0" applyFont="1" applyFill="1" applyBorder="1" applyAlignment="1">
      <alignment vertical="center"/>
    </xf>
    <xf numFmtId="0" fontId="0" fillId="48" borderId="15" xfId="0" applyFill="1" applyBorder="1" applyAlignment="1">
      <alignment horizontal="left" vertical="center"/>
    </xf>
    <xf numFmtId="0" fontId="0" fillId="48" borderId="16" xfId="0" applyFill="1" applyBorder="1" applyAlignment="1">
      <alignment horizontal="left" vertical="center"/>
    </xf>
    <xf numFmtId="0" fontId="0" fillId="42" borderId="15" xfId="0" applyFill="1" applyBorder="1" applyAlignment="1">
      <alignment horizontal="center" vertical="center"/>
    </xf>
    <xf numFmtId="0" fontId="0" fillId="42" borderId="17" xfId="0" applyFill="1" applyBorder="1" applyAlignment="1">
      <alignment horizontal="center" vertical="center"/>
    </xf>
    <xf numFmtId="0" fontId="0" fillId="42" borderId="16" xfId="0" applyFill="1" applyBorder="1" applyAlignment="1">
      <alignment horizontal="center" vertical="center"/>
    </xf>
    <xf numFmtId="0" fontId="0" fillId="49" borderId="15" xfId="0" applyFill="1" applyBorder="1" applyAlignment="1">
      <alignment horizontal="left" vertical="center"/>
    </xf>
    <xf numFmtId="0" fontId="0" fillId="49" borderId="16" xfId="0" applyFill="1" applyBorder="1" applyAlignment="1">
      <alignment horizontal="left" vertical="center"/>
    </xf>
    <xf numFmtId="0" fontId="0" fillId="52" borderId="15" xfId="0" applyFill="1" applyBorder="1" applyAlignment="1">
      <alignment horizontal="left" vertical="center"/>
    </xf>
    <xf numFmtId="0" fontId="0" fillId="52" borderId="16" xfId="0" applyFill="1" applyBorder="1" applyAlignment="1">
      <alignment horizontal="left" vertical="center"/>
    </xf>
    <xf numFmtId="0" fontId="0" fillId="53" borderId="15" xfId="0" applyFill="1" applyBorder="1" applyAlignment="1">
      <alignment horizontal="left" vertical="center"/>
    </xf>
    <xf numFmtId="0" fontId="0" fillId="53" borderId="16" xfId="0" applyFill="1" applyBorder="1" applyAlignment="1">
      <alignment horizontal="left" vertical="center"/>
    </xf>
    <xf numFmtId="0" fontId="0" fillId="51" borderId="15" xfId="0" applyFill="1" applyBorder="1" applyAlignment="1">
      <alignment horizontal="left" vertical="center"/>
    </xf>
    <xf numFmtId="0" fontId="0" fillId="51" borderId="16" xfId="0" applyFill="1" applyBorder="1" applyAlignment="1">
      <alignment horizontal="left" vertical="center"/>
    </xf>
    <xf numFmtId="0" fontId="0" fillId="40" borderId="15" xfId="0" applyFill="1" applyBorder="1" applyAlignment="1">
      <alignment horizontal="left" vertical="center"/>
    </xf>
    <xf numFmtId="0" fontId="0" fillId="40" borderId="16" xfId="0" applyFill="1" applyBorder="1" applyAlignment="1">
      <alignment horizontal="left" vertical="center"/>
    </xf>
    <xf numFmtId="0" fontId="0" fillId="35" borderId="15" xfId="0" applyFill="1" applyBorder="1" applyAlignment="1">
      <alignment horizontal="left" vertical="center"/>
    </xf>
    <xf numFmtId="0" fontId="0" fillId="35" borderId="16" xfId="0" applyFill="1" applyBorder="1" applyAlignment="1">
      <alignment horizontal="left" vertical="center"/>
    </xf>
    <xf numFmtId="0" fontId="0" fillId="54" borderId="18" xfId="0" applyFill="1" applyBorder="1" applyAlignment="1">
      <alignment horizontal="left" vertical="center"/>
    </xf>
    <xf numFmtId="0" fontId="0" fillId="37" borderId="11" xfId="0" applyFill="1" applyBorder="1" applyAlignment="1">
      <alignment horizontal="center"/>
    </xf>
    <xf numFmtId="0" fontId="0" fillId="37" borderId="12" xfId="0" applyFill="1" applyBorder="1" applyAlignment="1">
      <alignment horizontal="center"/>
    </xf>
    <xf numFmtId="0" fontId="0" fillId="37" borderId="10" xfId="0" applyFill="1" applyBorder="1" applyAlignment="1">
      <alignment horizontal="center"/>
    </xf>
    <xf numFmtId="0" fontId="0" fillId="41" borderId="15" xfId="0" applyFill="1" applyBorder="1" applyAlignment="1">
      <alignment horizontal="center" vertical="center"/>
    </xf>
    <xf numFmtId="0" fontId="0" fillId="41" borderId="17" xfId="0" applyFill="1" applyBorder="1" applyAlignment="1">
      <alignment horizontal="center" vertical="center"/>
    </xf>
    <xf numFmtId="0" fontId="0" fillId="41" borderId="16" xfId="0" applyFill="1" applyBorder="1" applyAlignment="1">
      <alignment horizontal="center" vertical="center"/>
    </xf>
    <xf numFmtId="0" fontId="0" fillId="40" borderId="15" xfId="0" applyFill="1" applyBorder="1" applyAlignment="1">
      <alignment horizontal="center" vertical="center"/>
    </xf>
    <xf numFmtId="0" fontId="0" fillId="40" borderId="17" xfId="0" applyFill="1" applyBorder="1" applyAlignment="1">
      <alignment horizontal="center" vertical="center"/>
    </xf>
    <xf numFmtId="0" fontId="0" fillId="40" borderId="16" xfId="0" applyFill="1" applyBorder="1" applyAlignment="1">
      <alignment horizontal="center" vertical="center"/>
    </xf>
    <xf numFmtId="0" fontId="0" fillId="38" borderId="15" xfId="0" applyFill="1" applyBorder="1" applyAlignment="1">
      <alignment horizontal="left" vertical="center"/>
    </xf>
    <xf numFmtId="0" fontId="0" fillId="38" borderId="16" xfId="0" applyFill="1" applyBorder="1" applyAlignment="1">
      <alignment horizontal="left" vertical="center"/>
    </xf>
    <xf numFmtId="0" fontId="0" fillId="43" borderId="15" xfId="0" applyFill="1" applyBorder="1" applyAlignment="1">
      <alignment horizontal="left" vertical="center"/>
    </xf>
    <xf numFmtId="0" fontId="0" fillId="43" borderId="16" xfId="0" applyFill="1" applyBorder="1" applyAlignment="1">
      <alignment horizontal="left" vertical="center"/>
    </xf>
    <xf numFmtId="0" fontId="0" fillId="47" borderId="15" xfId="0" applyFill="1" applyBorder="1" applyAlignment="1">
      <alignment horizontal="left" vertical="center"/>
    </xf>
    <xf numFmtId="0" fontId="0" fillId="47" borderId="16" xfId="0" applyFill="1" applyBorder="1" applyAlignment="1">
      <alignment horizontal="left" vertical="center"/>
    </xf>
    <xf numFmtId="0" fontId="50" fillId="101" borderId="0" xfId="0" applyFont="1" applyFill="1" applyAlignment="1">
      <alignment horizontal="center" vertical="center"/>
    </xf>
    <xf numFmtId="0" fontId="32" fillId="0" borderId="0" xfId="0" applyFont="1" applyFill="1" applyBorder="1" applyAlignment="1">
      <alignment horizontal="center" vertical="center"/>
    </xf>
    <xf numFmtId="0" fontId="51" fillId="34" borderId="18" xfId="0" applyFont="1" applyFill="1" applyBorder="1" applyAlignment="1">
      <alignment horizontal="center" vertical="center"/>
    </xf>
    <xf numFmtId="0" fontId="51" fillId="34" borderId="16" xfId="0" applyFont="1" applyFill="1" applyBorder="1" applyAlignment="1">
      <alignment horizontal="center" vertical="center"/>
    </xf>
    <xf numFmtId="0" fontId="47" fillId="34" borderId="18" xfId="0" applyFont="1" applyFill="1" applyBorder="1" applyAlignment="1">
      <alignment horizontal="center" vertical="center" wrapText="1"/>
    </xf>
    <xf numFmtId="0" fontId="47" fillId="34" borderId="17" xfId="0" applyFont="1" applyFill="1" applyBorder="1" applyAlignment="1">
      <alignment horizontal="center" vertical="center" wrapText="1"/>
    </xf>
    <xf numFmtId="0" fontId="32" fillId="60" borderId="11" xfId="0" applyFont="1" applyFill="1" applyBorder="1" applyAlignment="1">
      <alignment horizontal="center" vertical="center"/>
    </xf>
    <xf numFmtId="0" fontId="32" fillId="60" borderId="21" xfId="0" applyFont="1" applyFill="1" applyBorder="1" applyAlignment="1">
      <alignment horizontal="center" vertical="center"/>
    </xf>
    <xf numFmtId="0" fontId="32" fillId="60" borderId="12" xfId="0" applyFont="1" applyFill="1" applyBorder="1" applyAlignment="1">
      <alignment horizontal="center" vertical="center"/>
    </xf>
    <xf numFmtId="0" fontId="47" fillId="60" borderId="17" xfId="0" applyFont="1" applyFill="1" applyBorder="1" applyAlignment="1">
      <alignment horizontal="center" vertical="center" wrapText="1"/>
    </xf>
    <xf numFmtId="0" fontId="47" fillId="60" borderId="16" xfId="0" applyFont="1" applyFill="1" applyBorder="1" applyAlignment="1">
      <alignment horizontal="center" vertical="center" wrapText="1"/>
    </xf>
    <xf numFmtId="0" fontId="53" fillId="60" borderId="48" xfId="0" applyFont="1" applyFill="1" applyBorder="1" applyAlignment="1">
      <alignment horizontal="center" vertical="center"/>
    </xf>
    <xf numFmtId="0" fontId="53" fillId="60" borderId="49" xfId="0" applyFont="1" applyFill="1" applyBorder="1" applyAlignment="1">
      <alignment horizontal="center" vertical="center"/>
    </xf>
    <xf numFmtId="0" fontId="53" fillId="60" borderId="50" xfId="0" applyFont="1" applyFill="1" applyBorder="1" applyAlignment="1">
      <alignment horizontal="center" vertical="center"/>
    </xf>
    <xf numFmtId="0" fontId="47" fillId="91" borderId="17" xfId="0" applyFont="1" applyFill="1" applyBorder="1" applyAlignment="1">
      <alignment horizontal="center" vertical="center" wrapText="1"/>
    </xf>
    <xf numFmtId="0" fontId="47" fillId="91" borderId="16" xfId="0" applyFont="1" applyFill="1" applyBorder="1" applyAlignment="1">
      <alignment horizontal="center" vertical="center" wrapText="1"/>
    </xf>
    <xf numFmtId="0" fontId="47" fillId="34" borderId="16" xfId="0" applyFont="1" applyFill="1" applyBorder="1" applyAlignment="1">
      <alignment horizontal="center" vertical="center" wrapText="1"/>
    </xf>
    <xf numFmtId="0" fontId="37" fillId="80" borderId="11" xfId="0" applyFont="1" applyFill="1" applyBorder="1" applyAlignment="1">
      <alignment horizontal="center"/>
    </xf>
    <xf numFmtId="0" fontId="37" fillId="80" borderId="21" xfId="0" applyFont="1" applyFill="1" applyBorder="1" applyAlignment="1">
      <alignment horizontal="center"/>
    </xf>
    <xf numFmtId="0" fontId="37" fillId="80" borderId="12" xfId="0" applyFont="1" applyFill="1" applyBorder="1" applyAlignment="1">
      <alignment horizontal="center"/>
    </xf>
    <xf numFmtId="0" fontId="27" fillId="0" borderId="19" xfId="0" applyFont="1" applyBorder="1" applyAlignment="1">
      <alignment horizontal="center"/>
    </xf>
    <xf numFmtId="0" fontId="27" fillId="60" borderId="0" xfId="0" applyFont="1" applyFill="1" applyBorder="1" applyAlignment="1">
      <alignment horizontal="center" vertical="center"/>
    </xf>
    <xf numFmtId="0" fontId="27" fillId="60" borderId="19" xfId="0" applyFont="1" applyFill="1" applyBorder="1" applyAlignment="1">
      <alignment horizontal="center" vertical="center"/>
    </xf>
  </cellXfs>
  <cellStyles count="114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20% - Accent1 2" xfId="43" xr:uid="{00000000-0005-0000-0000-000006000000}"/>
    <cellStyle name="20% - Accent1 2 2" xfId="83" xr:uid="{00000000-0005-0000-0000-000007000000}"/>
    <cellStyle name="20% - Accent1 3" xfId="56" xr:uid="{00000000-0005-0000-0000-000008000000}"/>
    <cellStyle name="20% - Accent1 3 2" xfId="96" xr:uid="{00000000-0005-0000-0000-000009000000}"/>
    <cellStyle name="20% - Accent1 4" xfId="70" xr:uid="{00000000-0005-0000-0000-00000A000000}"/>
    <cellStyle name="20% - Accent2 2" xfId="45" xr:uid="{00000000-0005-0000-0000-00000B000000}"/>
    <cellStyle name="20% - Accent2 2 2" xfId="85" xr:uid="{00000000-0005-0000-0000-00000C000000}"/>
    <cellStyle name="20% - Accent2 3" xfId="58" xr:uid="{00000000-0005-0000-0000-00000D000000}"/>
    <cellStyle name="20% - Accent2 3 2" xfId="98" xr:uid="{00000000-0005-0000-0000-00000E000000}"/>
    <cellStyle name="20% - Accent2 4" xfId="72" xr:uid="{00000000-0005-0000-0000-00000F000000}"/>
    <cellStyle name="20% - Accent3 2" xfId="47" xr:uid="{00000000-0005-0000-0000-000010000000}"/>
    <cellStyle name="20% - Accent3 2 2" xfId="87" xr:uid="{00000000-0005-0000-0000-000011000000}"/>
    <cellStyle name="20% - Accent3 3" xfId="60" xr:uid="{00000000-0005-0000-0000-000012000000}"/>
    <cellStyle name="20% - Accent3 3 2" xfId="100" xr:uid="{00000000-0005-0000-0000-000013000000}"/>
    <cellStyle name="20% - Accent3 4" xfId="74" xr:uid="{00000000-0005-0000-0000-000014000000}"/>
    <cellStyle name="20% - Accent4 2" xfId="49" xr:uid="{00000000-0005-0000-0000-000015000000}"/>
    <cellStyle name="20% - Accent4 2 2" xfId="89" xr:uid="{00000000-0005-0000-0000-000016000000}"/>
    <cellStyle name="20% - Accent4 3" xfId="62" xr:uid="{00000000-0005-0000-0000-000017000000}"/>
    <cellStyle name="20% - Accent4 3 2" xfId="102" xr:uid="{00000000-0005-0000-0000-000018000000}"/>
    <cellStyle name="20% - Accent4 4" xfId="76" xr:uid="{00000000-0005-0000-0000-000019000000}"/>
    <cellStyle name="20% - Accent5 2" xfId="51" xr:uid="{00000000-0005-0000-0000-00001A000000}"/>
    <cellStyle name="20% - Accent5 2 2" xfId="91" xr:uid="{00000000-0005-0000-0000-00001B000000}"/>
    <cellStyle name="20% - Accent5 3" xfId="64" xr:uid="{00000000-0005-0000-0000-00001C000000}"/>
    <cellStyle name="20% - Accent5 3 2" xfId="104" xr:uid="{00000000-0005-0000-0000-00001D000000}"/>
    <cellStyle name="20% - Accent5 4" xfId="78" xr:uid="{00000000-0005-0000-0000-00001E000000}"/>
    <cellStyle name="20% - Accent6 2" xfId="53" xr:uid="{00000000-0005-0000-0000-00001F000000}"/>
    <cellStyle name="20% - Accent6 2 2" xfId="93" xr:uid="{00000000-0005-0000-0000-000020000000}"/>
    <cellStyle name="20% - Accent6 3" xfId="66" xr:uid="{00000000-0005-0000-0000-000021000000}"/>
    <cellStyle name="20% - Accent6 3 2" xfId="106" xr:uid="{00000000-0005-0000-0000-000022000000}"/>
    <cellStyle name="20% - Accent6 4" xfId="80" xr:uid="{00000000-0005-0000-0000-000023000000}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40% - Accent1 2" xfId="44" xr:uid="{00000000-0005-0000-0000-00002A000000}"/>
    <cellStyle name="40% - Accent1 2 2" xfId="84" xr:uid="{00000000-0005-0000-0000-00002B000000}"/>
    <cellStyle name="40% - Accent1 3" xfId="57" xr:uid="{00000000-0005-0000-0000-00002C000000}"/>
    <cellStyle name="40% - Accent1 3 2" xfId="97" xr:uid="{00000000-0005-0000-0000-00002D000000}"/>
    <cellStyle name="40% - Accent1 4" xfId="71" xr:uid="{00000000-0005-0000-0000-00002E000000}"/>
    <cellStyle name="40% - Accent2 2" xfId="46" xr:uid="{00000000-0005-0000-0000-00002F000000}"/>
    <cellStyle name="40% - Accent2 2 2" xfId="86" xr:uid="{00000000-0005-0000-0000-000030000000}"/>
    <cellStyle name="40% - Accent2 3" xfId="59" xr:uid="{00000000-0005-0000-0000-000031000000}"/>
    <cellStyle name="40% - Accent2 3 2" xfId="99" xr:uid="{00000000-0005-0000-0000-000032000000}"/>
    <cellStyle name="40% - Accent2 4" xfId="73" xr:uid="{00000000-0005-0000-0000-000033000000}"/>
    <cellStyle name="40% - Accent3 2" xfId="48" xr:uid="{00000000-0005-0000-0000-000034000000}"/>
    <cellStyle name="40% - Accent3 2 2" xfId="88" xr:uid="{00000000-0005-0000-0000-000035000000}"/>
    <cellStyle name="40% - Accent3 3" xfId="61" xr:uid="{00000000-0005-0000-0000-000036000000}"/>
    <cellStyle name="40% - Accent3 3 2" xfId="101" xr:uid="{00000000-0005-0000-0000-000037000000}"/>
    <cellStyle name="40% - Accent3 4" xfId="75" xr:uid="{00000000-0005-0000-0000-000038000000}"/>
    <cellStyle name="40% - Accent4 2" xfId="50" xr:uid="{00000000-0005-0000-0000-000039000000}"/>
    <cellStyle name="40% - Accent4 2 2" xfId="90" xr:uid="{00000000-0005-0000-0000-00003A000000}"/>
    <cellStyle name="40% - Accent4 3" xfId="63" xr:uid="{00000000-0005-0000-0000-00003B000000}"/>
    <cellStyle name="40% - Accent4 3 2" xfId="103" xr:uid="{00000000-0005-0000-0000-00003C000000}"/>
    <cellStyle name="40% - Accent4 4" xfId="77" xr:uid="{00000000-0005-0000-0000-00003D000000}"/>
    <cellStyle name="40% - Accent5 2" xfId="52" xr:uid="{00000000-0005-0000-0000-00003E000000}"/>
    <cellStyle name="40% - Accent5 2 2" xfId="92" xr:uid="{00000000-0005-0000-0000-00003F000000}"/>
    <cellStyle name="40% - Accent5 3" xfId="65" xr:uid="{00000000-0005-0000-0000-000040000000}"/>
    <cellStyle name="40% - Accent5 3 2" xfId="105" xr:uid="{00000000-0005-0000-0000-000041000000}"/>
    <cellStyle name="40% - Accent5 4" xfId="79" xr:uid="{00000000-0005-0000-0000-000042000000}"/>
    <cellStyle name="40% - Accent6 2" xfId="54" xr:uid="{00000000-0005-0000-0000-000043000000}"/>
    <cellStyle name="40% - Accent6 2 2" xfId="94" xr:uid="{00000000-0005-0000-0000-000044000000}"/>
    <cellStyle name="40% - Accent6 3" xfId="67" xr:uid="{00000000-0005-0000-0000-000045000000}"/>
    <cellStyle name="40% - Accent6 3 2" xfId="107" xr:uid="{00000000-0005-0000-0000-000046000000}"/>
    <cellStyle name="40% - Accent6 4" xfId="81" xr:uid="{00000000-0005-0000-0000-000047000000}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eutral 2" xfId="111" xr:uid="{00000000-0005-0000-0000-00005B000000}"/>
    <cellStyle name="Normal 11" xfId="113" xr:uid="{00000000-0005-0000-0000-00005C000000}"/>
    <cellStyle name="Normal 2" xfId="68" xr:uid="{00000000-0005-0000-0000-00005D000000}"/>
    <cellStyle name="Normal 2 3" xfId="112" xr:uid="{00000000-0005-0000-0000-00005E000000}"/>
    <cellStyle name="Note 2" xfId="42" xr:uid="{00000000-0005-0000-0000-00005F000000}"/>
    <cellStyle name="Note 2 2" xfId="82" xr:uid="{00000000-0005-0000-0000-000060000000}"/>
    <cellStyle name="Note 3" xfId="55" xr:uid="{00000000-0005-0000-0000-000061000000}"/>
    <cellStyle name="Note 3 2" xfId="95" xr:uid="{00000000-0005-0000-0000-000062000000}"/>
    <cellStyle name="Note 4" xfId="69" xr:uid="{00000000-0005-0000-0000-000063000000}"/>
    <cellStyle name="Notiz" xfId="15" builtinId="10" customBuiltin="1"/>
    <cellStyle name="Schlecht" xfId="7" builtinId="27" customBuiltin="1"/>
    <cellStyle name="Standard" xfId="0" builtinId="0" customBuiltin="1"/>
    <cellStyle name="Standard 2" xfId="108" xr:uid="{00000000-0005-0000-0000-000067000000}"/>
    <cellStyle name="Standard 3" xfId="109" xr:uid="{00000000-0005-0000-0000-000068000000}"/>
    <cellStyle name="Standard 4" xfId="110" xr:uid="{00000000-0005-0000-0000-000069000000}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2">
    <dxf>
      <fill>
        <patternFill>
          <bgColor rgb="FFFF66CC"/>
        </patternFill>
      </fill>
    </dxf>
    <dxf>
      <fill>
        <patternFill>
          <bgColor rgb="FFFF6600"/>
        </patternFill>
      </fill>
    </dxf>
  </dxfs>
  <tableStyles count="0" defaultTableStyle="TableStyleMedium2" defaultPivotStyle="PivotStyleLight16"/>
  <colors>
    <mruColors>
      <color rgb="FFFF57FF"/>
      <color rgb="FFFC9556"/>
      <color rgb="FFFFDC6D"/>
      <color rgb="FFFB6509"/>
      <color rgb="FFF66004"/>
      <color rgb="FFFFE48F"/>
      <color rgb="FFFFD961"/>
      <color rgb="FF6EDA24"/>
      <color rgb="FFB5ED8F"/>
      <color rgb="FF9BC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worksheets/sheet17.xml" Type="http://schemas.openxmlformats.org/officeDocument/2006/relationships/worksheet"/><Relationship Id="rId18" Target="worksheets/sheet18.xml" Type="http://schemas.openxmlformats.org/officeDocument/2006/relationships/worksheet"/><Relationship Id="rId19" Target="worksheets/sheet19.xml" Type="http://schemas.openxmlformats.org/officeDocument/2006/relationships/worksheet"/><Relationship Id="rId2" Target="worksheets/sheet2.xml" Type="http://schemas.openxmlformats.org/officeDocument/2006/relationships/worksheet"/><Relationship Id="rId20" Target="worksheets/sheet20.xml" Type="http://schemas.openxmlformats.org/officeDocument/2006/relationships/worksheet"/><Relationship Id="rId21" Target="worksheets/sheet21.xml" Type="http://schemas.openxmlformats.org/officeDocument/2006/relationships/worksheet"/><Relationship Id="rId22" Target="worksheets/sheet22.xml" Type="http://schemas.openxmlformats.org/officeDocument/2006/relationships/worksheet"/><Relationship Id="rId23" Target="theme/theme1.xml" Type="http://schemas.openxmlformats.org/officeDocument/2006/relationships/theme"/><Relationship Id="rId24" Target="styles.xml" Type="http://schemas.openxmlformats.org/officeDocument/2006/relationships/styles"/><Relationship Id="rId25" Target="sharedStrings.xml" Type="http://schemas.openxmlformats.org/officeDocument/2006/relationships/sharedStrings"/><Relationship Id="rId26" Target="calcChain.xml" Type="http://schemas.openxmlformats.org/officeDocument/2006/relationships/calcChain"/><Relationship Id="rId27" Target="vbaProject.bin" Type="http://schemas.microsoft.com/office/2006/relationships/vbaProjec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2.xml.rels><?xml version="1.0" encoding="UTF-8" standalone="no"?><Relationships xmlns="http://schemas.openxmlformats.org/package/2006/relationships"><Relationship Id="rId1" Target="../media/image2.png" Type="http://schemas.openxmlformats.org/officeDocument/2006/relationships/image"/></Relationships>
</file>

<file path=xl/drawings/_rels/drawing5.xml.rels><?xml version="1.0" encoding="UTF-8" standalone="no"?><Relationships xmlns="http://schemas.openxmlformats.org/package/2006/relationships"><Relationship Id="rId1" Target="../media/image3.png" Type="http://schemas.openxmlformats.org/officeDocument/2006/relationships/image"/></Relationships>
</file>

<file path=xl/drawings/_rels/drawing6.xml.rels><?xml version="1.0" encoding="UTF-8" standalone="no"?><Relationships xmlns="http://schemas.openxmlformats.org/package/2006/relationships"><Relationship Id="rId1" Target="../media/image4.png" Type="http://schemas.openxmlformats.org/officeDocument/2006/relationships/image"/><Relationship Id="rId2" Target="../media/image5.png" Type="http://schemas.openxmlformats.org/officeDocument/2006/relationships/image"/><Relationship Id="rId3" Target="../media/image6.png" Type="http://schemas.openxmlformats.org/officeDocument/2006/relationships/image"/></Relationships>
</file>

<file path=xl/drawings/_rels/drawing7.xml.rels><?xml version="1.0" encoding="UTF-8" standalone="no"?><Relationships xmlns="http://schemas.openxmlformats.org/package/2006/relationships"><Relationship Id="rId1" Target="../media/image7.png" Type="http://schemas.openxmlformats.org/officeDocument/2006/relationships/image"/><Relationship Id="rId2" Target="../media/image8.png" Type="http://schemas.openxmlformats.org/officeDocument/2006/relationships/image"/></Relationships>
</file>

<file path=xl/drawings/_rels/drawing8.xml.rels><?xml version="1.0" encoding="UTF-8" standalone="no"?><Relationships xmlns="http://schemas.openxmlformats.org/package/2006/relationships"><Relationship Id="rId1" Target="../media/image9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426720</xdr:colOff>
      <xdr:row>13</xdr:row>
      <xdr:rowOff>7620</xdr:rowOff>
    </xdr:from>
    <xdr:to>
      <xdr:col>13</xdr:col>
      <xdr:colOff>297180</xdr:colOff>
      <xdr:row>17</xdr:row>
      <xdr:rowOff>60960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29300" y="2484120"/>
          <a:ext cx="1699260" cy="8153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289560</xdr:colOff>
      <xdr:row>4</xdr:row>
      <xdr:rowOff>91440</xdr:rowOff>
    </xdr:from>
    <xdr:to>
      <xdr:col>9</xdr:col>
      <xdr:colOff>526213</xdr:colOff>
      <xdr:row>41</xdr:row>
      <xdr:rowOff>8102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33460" y="723900"/>
          <a:ext cx="4991533" cy="55554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1139190</xdr:colOff>
      <xdr:row>23</xdr:row>
      <xdr:rowOff>19050</xdr:rowOff>
    </xdr:from>
    <xdr:to>
      <xdr:col>6</xdr:col>
      <xdr:colOff>1329690</xdr:colOff>
      <xdr:row>25</xdr:row>
      <xdr:rowOff>125730</xdr:rowOff>
    </xdr:to>
    <xdr:sp macro="" textlink="">
      <xdr:nvSpPr>
        <xdr:cNvPr id="2" name="Nach unten gekrümmter Pfeil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5400000" flipV="1">
          <a:off x="7269480" y="3307080"/>
          <a:ext cx="365760" cy="190500"/>
        </a:xfrm>
        <a:prstGeom prst="curvedDownArrow">
          <a:avLst/>
        </a:prstGeom>
        <a:ln w="9525"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1676400</xdr:colOff>
      <xdr:row>14</xdr:row>
      <xdr:rowOff>22860</xdr:rowOff>
    </xdr:from>
    <xdr:to>
      <xdr:col>4</xdr:col>
      <xdr:colOff>1958340</xdr:colOff>
      <xdr:row>20</xdr:row>
      <xdr:rowOff>121920</xdr:rowOff>
    </xdr:to>
    <xdr:sp macro="" textlink="">
      <xdr:nvSpPr>
        <xdr:cNvPr id="3" name="Rechteckiger Pfeil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 flipV="1">
          <a:off x="4206240" y="2042160"/>
          <a:ext cx="281940" cy="876300"/>
        </a:xfrm>
        <a:prstGeom prst="bentArrow">
          <a:avLst>
            <a:gd name="adj1" fmla="val 18484"/>
            <a:gd name="adj2" fmla="val 17912"/>
            <a:gd name="adj3" fmla="val 30071"/>
            <a:gd name="adj4" fmla="val 44929"/>
          </a:avLst>
        </a:prstGeom>
        <a:solidFill>
          <a:srgbClr val="92D050"/>
        </a:solidFill>
        <a:ln w="12700"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472440</xdr:colOff>
      <xdr:row>7</xdr:row>
      <xdr:rowOff>45720</xdr:rowOff>
    </xdr:from>
    <xdr:to>
      <xdr:col>4</xdr:col>
      <xdr:colOff>1927860</xdr:colOff>
      <xdr:row>10</xdr:row>
      <xdr:rowOff>83820</xdr:rowOff>
    </xdr:to>
    <xdr:sp macro="" textlink="">
      <xdr:nvSpPr>
        <xdr:cNvPr id="8" name="Rechteckiger Pfeil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 rot="5400000" flipV="1">
          <a:off x="3928110" y="407670"/>
          <a:ext cx="426720" cy="1455420"/>
        </a:xfrm>
        <a:prstGeom prst="bentArrow">
          <a:avLst>
            <a:gd name="adj1" fmla="val 18484"/>
            <a:gd name="adj2" fmla="val 17912"/>
            <a:gd name="adj3" fmla="val 30071"/>
            <a:gd name="adj4" fmla="val 44929"/>
          </a:avLst>
        </a:prstGeom>
        <a:solidFill>
          <a:srgbClr val="92D05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464820</xdr:colOff>
      <xdr:row>13</xdr:row>
      <xdr:rowOff>38100</xdr:rowOff>
    </xdr:from>
    <xdr:to>
      <xdr:col>4</xdr:col>
      <xdr:colOff>1920240</xdr:colOff>
      <xdr:row>16</xdr:row>
      <xdr:rowOff>76200</xdr:rowOff>
    </xdr:to>
    <xdr:sp macro="" textlink="">
      <xdr:nvSpPr>
        <xdr:cNvPr id="3" name="Rechteckiger Pfeil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 rot="5400000" flipV="1">
          <a:off x="3920490" y="1047750"/>
          <a:ext cx="426720" cy="1455420"/>
        </a:xfrm>
        <a:prstGeom prst="bentArrow">
          <a:avLst>
            <a:gd name="adj1" fmla="val 18484"/>
            <a:gd name="adj2" fmla="val 17912"/>
            <a:gd name="adj3" fmla="val 30071"/>
            <a:gd name="adj4" fmla="val 44929"/>
          </a:avLst>
        </a:prstGeom>
        <a:solidFill>
          <a:srgbClr val="FF7B21"/>
        </a:solidFill>
        <a:ln w="12700"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1478280</xdr:colOff>
      <xdr:row>10</xdr:row>
      <xdr:rowOff>30480</xdr:rowOff>
    </xdr:from>
    <xdr:to>
      <xdr:col>4</xdr:col>
      <xdr:colOff>1943100</xdr:colOff>
      <xdr:row>24</xdr:row>
      <xdr:rowOff>125730</xdr:rowOff>
    </xdr:to>
    <xdr:sp macro="" textlink="">
      <xdr:nvSpPr>
        <xdr:cNvPr id="4" name="Rechteckiger Pfeil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 rot="5400000" flipV="1">
          <a:off x="3800475" y="2226945"/>
          <a:ext cx="1962150" cy="464820"/>
        </a:xfrm>
        <a:prstGeom prst="bentArrow">
          <a:avLst>
            <a:gd name="adj1" fmla="val 16282"/>
            <a:gd name="adj2" fmla="val 16748"/>
            <a:gd name="adj3" fmla="val 29797"/>
            <a:gd name="adj4" fmla="val 44929"/>
          </a:avLst>
        </a:prstGeom>
        <a:solidFill>
          <a:srgbClr val="FFC000"/>
        </a:solidFill>
        <a:ln w="12700"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1748790</xdr:colOff>
      <xdr:row>16</xdr:row>
      <xdr:rowOff>22860</xdr:rowOff>
    </xdr:from>
    <xdr:to>
      <xdr:col>5</xdr:col>
      <xdr:colOff>0</xdr:colOff>
      <xdr:row>26</xdr:row>
      <xdr:rowOff>114300</xdr:rowOff>
    </xdr:to>
    <xdr:sp macro="" textlink="">
      <xdr:nvSpPr>
        <xdr:cNvPr id="5" name="Rechteckiger Pfeil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 rot="5400000" flipV="1">
          <a:off x="4242435" y="2878455"/>
          <a:ext cx="1386840" cy="232410"/>
        </a:xfrm>
        <a:prstGeom prst="bentArrow">
          <a:avLst>
            <a:gd name="adj1" fmla="val 30881"/>
            <a:gd name="adj2" fmla="val 32304"/>
            <a:gd name="adj3" fmla="val 50000"/>
            <a:gd name="adj4" fmla="val 44929"/>
          </a:avLst>
        </a:prstGeom>
        <a:solidFill>
          <a:srgbClr val="FF6699"/>
        </a:solidFill>
        <a:ln w="12700"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</xdr:row>
      <xdr:rowOff>0</xdr:rowOff>
    </xdr:from>
    <xdr:to>
      <xdr:col>7</xdr:col>
      <xdr:colOff>868681</xdr:colOff>
      <xdr:row>33</xdr:row>
      <xdr:rowOff>123285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1041" y="175260"/>
          <a:ext cx="8404860" cy="44057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579120</xdr:colOff>
      <xdr:row>2</xdr:row>
      <xdr:rowOff>0</xdr:rowOff>
    </xdr:from>
    <xdr:to>
      <xdr:col>8</xdr:col>
      <xdr:colOff>777240</xdr:colOff>
      <xdr:row>23</xdr:row>
      <xdr:rowOff>83820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956560" y="731520"/>
          <a:ext cx="5410200" cy="3848100"/>
        </a:xfrm>
        <a:prstGeom prst="rect">
          <a:avLst/>
        </a:prstGeom>
        <a:solidFill>
          <a:schemeClr val="bg1"/>
        </a:soli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000" b="1">
              <a:solidFill>
                <a:sysClr val="windowText" lastClr="000000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&lt;example&gt;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de-DE" sz="900">
            <a:solidFill>
              <a:sysClr val="windowText" lastClr="000000"/>
            </a:solidFill>
            <a:effectLst/>
            <a:latin typeface="+mn-lt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312420</xdr:colOff>
      <xdr:row>2</xdr:row>
      <xdr:rowOff>144780</xdr:rowOff>
    </xdr:from>
    <xdr:to>
      <xdr:col>8</xdr:col>
      <xdr:colOff>533400</xdr:colOff>
      <xdr:row>22</xdr:row>
      <xdr:rowOff>167640</xdr:rowOff>
    </xdr:to>
    <xdr:sp macro="" textlink="">
      <xdr:nvSpPr>
        <xdr:cNvPr id="3" name="Rechteck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5067300" y="876300"/>
          <a:ext cx="3055620" cy="3604260"/>
        </a:xfrm>
        <a:prstGeom prst="rect">
          <a:avLst/>
        </a:prstGeom>
        <a:solidFill>
          <a:schemeClr val="bg1"/>
        </a:soli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000" b="1">
              <a:solidFill>
                <a:sysClr val="windowText" lastClr="000000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PrepareFor_NewEoEntry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de-DE" sz="900">
            <a:solidFill>
              <a:sysClr val="windowText" lastClr="000000"/>
            </a:solidFill>
            <a:effectLst/>
            <a:latin typeface="+mn-lt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1005840</xdr:colOff>
      <xdr:row>5</xdr:row>
      <xdr:rowOff>38100</xdr:rowOff>
    </xdr:from>
    <xdr:to>
      <xdr:col>8</xdr:col>
      <xdr:colOff>411480</xdr:colOff>
      <xdr:row>22</xdr:row>
      <xdr:rowOff>60960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6553200" y="1242060"/>
          <a:ext cx="1447800" cy="3131820"/>
        </a:xfrm>
        <a:prstGeom prst="rect">
          <a:avLst/>
        </a:prstGeom>
        <a:solidFill>
          <a:schemeClr val="bg1"/>
        </a:soli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000" b="1">
              <a:solidFill>
                <a:sysClr val="windowText" lastClr="000000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Eintragungsobjekt.eo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de-DE" sz="900">
            <a:solidFill>
              <a:sysClr val="windowText" lastClr="000000"/>
            </a:solidFill>
            <a:effectLst/>
            <a:latin typeface="+mn-lt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1196160</xdr:colOff>
      <xdr:row>6</xdr:row>
      <xdr:rowOff>144780</xdr:rowOff>
    </xdr:from>
    <xdr:to>
      <xdr:col>8</xdr:col>
      <xdr:colOff>136980</xdr:colOff>
      <xdr:row>7</xdr:row>
      <xdr:rowOff>181500</xdr:rowOff>
    </xdr:to>
    <xdr:sp macro="" textlink="">
      <xdr:nvSpPr>
        <xdr:cNvPr id="7" name="Rechteck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6743520" y="1531620"/>
          <a:ext cx="982980" cy="219600"/>
        </a:xfrm>
        <a:prstGeom prst="rect">
          <a:avLst/>
        </a:prstGeom>
        <a:solidFill>
          <a:srgbClr val="FF9953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900">
              <a:solidFill>
                <a:sysClr val="windowText" lastClr="000000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MAX(ID) + 1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de-DE" sz="1050">
            <a:solidFill>
              <a:sysClr val="windowText" lastClr="000000"/>
            </a:solidFill>
            <a:effectLst/>
            <a:latin typeface="+mn-lt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512866</xdr:colOff>
      <xdr:row>11</xdr:row>
      <xdr:rowOff>143723</xdr:rowOff>
    </xdr:from>
    <xdr:to>
      <xdr:col>6</xdr:col>
      <xdr:colOff>703186</xdr:colOff>
      <xdr:row>12</xdr:row>
      <xdr:rowOff>178409</xdr:rowOff>
    </xdr:to>
    <xdr:sp macro="" textlink="">
      <xdr:nvSpPr>
        <xdr:cNvPr id="8" name="Rechteck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5267746" y="2444963"/>
          <a:ext cx="982800" cy="217566"/>
        </a:xfrm>
        <a:prstGeom prst="rect">
          <a:avLst/>
        </a:prstGeom>
        <a:solidFill>
          <a:srgbClr val="FFC000"/>
        </a:solidFill>
        <a:ln w="12700">
          <a:solidFill>
            <a:srgbClr val="FF995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9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NewEoId</a:t>
          </a:r>
        </a:p>
      </xdr:txBody>
    </xdr:sp>
    <xdr:clientData/>
  </xdr:twoCellAnchor>
  <xdr:twoCellAnchor>
    <xdr:from>
      <xdr:col>8</xdr:col>
      <xdr:colOff>198900</xdr:colOff>
      <xdr:row>6</xdr:row>
      <xdr:rowOff>114300</xdr:rowOff>
    </xdr:from>
    <xdr:to>
      <xdr:col>9</xdr:col>
      <xdr:colOff>60960</xdr:colOff>
      <xdr:row>8</xdr:row>
      <xdr:rowOff>45720</xdr:rowOff>
    </xdr:to>
    <xdr:sp macro="" textlink="">
      <xdr:nvSpPr>
        <xdr:cNvPr id="9" name="Pfeil nach rechts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 flipH="1">
          <a:off x="7788420" y="1501140"/>
          <a:ext cx="654540" cy="297180"/>
        </a:xfrm>
        <a:prstGeom prst="rightArrow">
          <a:avLst/>
        </a:prstGeom>
        <a:solidFill>
          <a:srgbClr val="FF9953"/>
        </a:solidFill>
        <a:ln>
          <a:solidFill>
            <a:srgbClr val="FF995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de-DE" sz="1100">
            <a:ln>
              <a:solidFill>
                <a:srgbClr val="FFC000"/>
              </a:solidFill>
            </a:ln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9</xdr:col>
      <xdr:colOff>152400</xdr:colOff>
      <xdr:row>6</xdr:row>
      <xdr:rowOff>129540</xdr:rowOff>
    </xdr:from>
    <xdr:to>
      <xdr:col>14</xdr:col>
      <xdr:colOff>213511</xdr:colOff>
      <xdr:row>13</xdr:row>
      <xdr:rowOff>53444</xdr:rowOff>
    </xdr:to>
    <xdr:pic>
      <xdr:nvPicPr>
        <xdr:cNvPr id="10" name="Grafik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34400" y="1516380"/>
          <a:ext cx="1737511" cy="1204064"/>
        </a:xfrm>
        <a:prstGeom prst="rect">
          <a:avLst/>
        </a:prstGeom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7</xdr:col>
      <xdr:colOff>152401</xdr:colOff>
      <xdr:row>8</xdr:row>
      <xdr:rowOff>53340</xdr:rowOff>
    </xdr:from>
    <xdr:to>
      <xdr:col>9</xdr:col>
      <xdr:colOff>76201</xdr:colOff>
      <xdr:row>13</xdr:row>
      <xdr:rowOff>30480</xdr:rowOff>
    </xdr:to>
    <xdr:sp macro="" textlink="">
      <xdr:nvSpPr>
        <xdr:cNvPr id="11" name="Rechteckiger Pfeil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>
          <a:spLocks/>
        </xdr:cNvSpPr>
      </xdr:nvSpPr>
      <xdr:spPr>
        <a:xfrm flipV="1">
          <a:off x="7162801" y="1805940"/>
          <a:ext cx="1295400" cy="891540"/>
        </a:xfrm>
        <a:prstGeom prst="bentArrow">
          <a:avLst>
            <a:gd name="adj1" fmla="val 13889"/>
            <a:gd name="adj2" fmla="val 15598"/>
            <a:gd name="adj3" fmla="val 18162"/>
            <a:gd name="adj4" fmla="val 43750"/>
          </a:avLst>
        </a:prstGeom>
        <a:solidFill>
          <a:srgbClr val="FFC000"/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de-DE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723899</xdr:colOff>
      <xdr:row>8</xdr:row>
      <xdr:rowOff>53340</xdr:rowOff>
    </xdr:from>
    <xdr:to>
      <xdr:col>7</xdr:col>
      <xdr:colOff>274318</xdr:colOff>
      <xdr:row>13</xdr:row>
      <xdr:rowOff>30480</xdr:rowOff>
    </xdr:to>
    <xdr:sp macro="" textlink="">
      <xdr:nvSpPr>
        <xdr:cNvPr id="12" name="Rechteckiger Pfeil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>
          <a:spLocks/>
        </xdr:cNvSpPr>
      </xdr:nvSpPr>
      <xdr:spPr>
        <a:xfrm flipH="1" flipV="1">
          <a:off x="6271259" y="1805940"/>
          <a:ext cx="1013459" cy="891540"/>
        </a:xfrm>
        <a:prstGeom prst="bentArrow">
          <a:avLst>
            <a:gd name="adj1" fmla="val 13889"/>
            <a:gd name="adj2" fmla="val 15598"/>
            <a:gd name="adj3" fmla="val 18162"/>
            <a:gd name="adj4" fmla="val 43750"/>
          </a:avLst>
        </a:prstGeom>
        <a:solidFill>
          <a:srgbClr val="FFC000"/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de-DE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1225891</xdr:colOff>
      <xdr:row>17</xdr:row>
      <xdr:rowOff>38971</xdr:rowOff>
    </xdr:from>
    <xdr:to>
      <xdr:col>8</xdr:col>
      <xdr:colOff>154546</xdr:colOff>
      <xdr:row>18</xdr:row>
      <xdr:rowOff>72958</xdr:rowOff>
    </xdr:to>
    <xdr:sp macro="" textlink="">
      <xdr:nvSpPr>
        <xdr:cNvPr id="13" name="Rechteck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/>
      </xdr:nvSpPr>
      <xdr:spPr>
        <a:xfrm>
          <a:off x="6773251" y="3437491"/>
          <a:ext cx="970815" cy="216867"/>
        </a:xfrm>
        <a:prstGeom prst="rect">
          <a:avLst/>
        </a:prstGeom>
        <a:solidFill>
          <a:schemeClr val="bg1">
            <a:lumMod val="85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900">
              <a:solidFill>
                <a:sysClr val="windowText" lastClr="000000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fill_OuterCols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de-DE" sz="1050">
            <a:solidFill>
              <a:sysClr val="windowText" lastClr="000000"/>
            </a:solidFill>
            <a:effectLst/>
            <a:latin typeface="+mn-lt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1089660</xdr:colOff>
      <xdr:row>13</xdr:row>
      <xdr:rowOff>144780</xdr:rowOff>
    </xdr:from>
    <xdr:to>
      <xdr:col>8</xdr:col>
      <xdr:colOff>327660</xdr:colOff>
      <xdr:row>16</xdr:row>
      <xdr:rowOff>137160</xdr:rowOff>
    </xdr:to>
    <xdr:grpSp>
      <xdr:nvGrpSpPr>
        <xdr:cNvPr id="14" name="Gruppieren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GrpSpPr/>
      </xdr:nvGrpSpPr>
      <xdr:grpSpPr>
        <a:xfrm>
          <a:off x="5844540" y="2451100"/>
          <a:ext cx="1280160" cy="541020"/>
          <a:chOff x="6637020" y="2811780"/>
          <a:chExt cx="1280160" cy="541020"/>
        </a:xfrm>
      </xdr:grpSpPr>
      <xdr:sp macro="" textlink="">
        <xdr:nvSpPr>
          <xdr:cNvPr id="15" name="Rechteck 14">
            <a:extLst>
              <a:ext uri="{FF2B5EF4-FFF2-40B4-BE49-F238E27FC236}">
                <a16:creationId xmlns:a16="http://schemas.microsoft.com/office/drawing/2014/main" id="{00000000-0008-0000-0B00-00000F000000}"/>
              </a:ext>
            </a:extLst>
          </xdr:cNvPr>
          <xdr:cNvSpPr/>
        </xdr:nvSpPr>
        <xdr:spPr>
          <a:xfrm>
            <a:off x="6637020" y="2811780"/>
            <a:ext cx="1280160" cy="541020"/>
          </a:xfrm>
          <a:prstGeom prst="rect">
            <a:avLst/>
          </a:prstGeom>
          <a:solidFill>
            <a:schemeClr val="bg1"/>
          </a:solidFill>
          <a:ln w="285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DE" sz="1000" b="1">
                <a:solidFill>
                  <a:sysClr val="windowText" lastClr="000000"/>
                </a:solidFill>
                <a:effectLst/>
                <a:latin typeface="+mn-lt"/>
                <a:ea typeface="+mn-ea"/>
                <a:cs typeface="Arial" panose="020B0604020202020204" pitchFamily="34" charset="0"/>
              </a:rPr>
              <a:t>InsertInit_NewRow</a:t>
            </a: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de-DE" sz="900">
              <a:solidFill>
                <a:sysClr val="windowText" lastClr="000000"/>
              </a:solidFill>
              <a:effectLst/>
              <a:latin typeface="+mn-lt"/>
              <a:ea typeface="+mn-ea"/>
              <a:cs typeface="Arial" panose="020B0604020202020204" pitchFamily="34" charset="0"/>
            </a:endParaRPr>
          </a:p>
        </xdr:txBody>
      </xdr:sp>
      <xdr:sp macro="" textlink="">
        <xdr:nvSpPr>
          <xdr:cNvPr id="16" name="Rechteck 15">
            <a:extLst>
              <a:ext uri="{FF2B5EF4-FFF2-40B4-BE49-F238E27FC236}">
                <a16:creationId xmlns:a16="http://schemas.microsoft.com/office/drawing/2014/main" id="{00000000-0008-0000-0B00-000010000000}"/>
              </a:ext>
            </a:extLst>
          </xdr:cNvPr>
          <xdr:cNvSpPr/>
        </xdr:nvSpPr>
        <xdr:spPr>
          <a:xfrm>
            <a:off x="6780871" y="3065817"/>
            <a:ext cx="970815" cy="197405"/>
          </a:xfrm>
          <a:prstGeom prst="rect">
            <a:avLst/>
          </a:prstGeom>
          <a:solidFill>
            <a:srgbClr val="FFB9FF"/>
          </a:solidFill>
          <a:ln w="190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DE" sz="900">
                <a:solidFill>
                  <a:sysClr val="windowText" lastClr="000000"/>
                </a:solidFill>
                <a:effectLst/>
                <a:latin typeface="+mn-lt"/>
                <a:ea typeface="+mn-ea"/>
                <a:cs typeface="Arial" panose="020B0604020202020204" pitchFamily="34" charset="0"/>
              </a:rPr>
              <a:t>ColorNCopy</a:t>
            </a:r>
          </a:p>
        </xdr:txBody>
      </xdr:sp>
    </xdr:grpSp>
    <xdr:clientData/>
  </xdr:twoCellAnchor>
  <xdr:twoCellAnchor>
    <xdr:from>
      <xdr:col>8</xdr:col>
      <xdr:colOff>236220</xdr:colOff>
      <xdr:row>13</xdr:row>
      <xdr:rowOff>26670</xdr:rowOff>
    </xdr:from>
    <xdr:to>
      <xdr:col>13</xdr:col>
      <xdr:colOff>289560</xdr:colOff>
      <xdr:row>18</xdr:row>
      <xdr:rowOff>22860</xdr:rowOff>
    </xdr:to>
    <xdr:sp macro="" textlink="">
      <xdr:nvSpPr>
        <xdr:cNvPr id="17" name="Rechteckiger Pfeil 16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/>
      </xdr:nvSpPr>
      <xdr:spPr>
        <a:xfrm rot="5400000" flipH="1">
          <a:off x="8463915" y="2055495"/>
          <a:ext cx="910590" cy="2186940"/>
        </a:xfrm>
        <a:prstGeom prst="bentArrow">
          <a:avLst>
            <a:gd name="adj1" fmla="val 11207"/>
            <a:gd name="adj2" fmla="val 13795"/>
            <a:gd name="adj3" fmla="val 20366"/>
            <a:gd name="adj4" fmla="val 43750"/>
          </a:avLst>
        </a:prstGeom>
        <a:solidFill>
          <a:schemeClr val="bg1">
            <a:lumMod val="85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236220</xdr:colOff>
      <xdr:row>13</xdr:row>
      <xdr:rowOff>19050</xdr:rowOff>
    </xdr:from>
    <xdr:to>
      <xdr:col>11</xdr:col>
      <xdr:colOff>297180</xdr:colOff>
      <xdr:row>15</xdr:row>
      <xdr:rowOff>152400</xdr:rowOff>
    </xdr:to>
    <xdr:sp macro="" textlink="">
      <xdr:nvSpPr>
        <xdr:cNvPr id="18" name="Rechteckiger Pfeil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/>
      </xdr:nvSpPr>
      <xdr:spPr>
        <a:xfrm rot="5400000" flipH="1">
          <a:off x="8338185" y="2173605"/>
          <a:ext cx="499110" cy="1524000"/>
        </a:xfrm>
        <a:prstGeom prst="bentArrow">
          <a:avLst>
            <a:gd name="adj1" fmla="val 20367"/>
            <a:gd name="adj2" fmla="val 24482"/>
            <a:gd name="adj3" fmla="val 36617"/>
            <a:gd name="adj4" fmla="val 43750"/>
          </a:avLst>
        </a:prstGeom>
        <a:solidFill>
          <a:srgbClr val="FFB9FF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710986</xdr:colOff>
      <xdr:row>17</xdr:row>
      <xdr:rowOff>38971</xdr:rowOff>
    </xdr:from>
    <xdr:to>
      <xdr:col>5</xdr:col>
      <xdr:colOff>96841</xdr:colOff>
      <xdr:row>18</xdr:row>
      <xdr:rowOff>72958</xdr:rowOff>
    </xdr:to>
    <xdr:sp macro="" textlink="">
      <xdr:nvSpPr>
        <xdr:cNvPr id="19" name="Rechteck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3880906" y="3437491"/>
          <a:ext cx="970815" cy="216867"/>
        </a:xfrm>
        <a:prstGeom prst="rect">
          <a:avLst/>
        </a:prstGeom>
        <a:solidFill>
          <a:schemeClr val="bg1">
            <a:lumMod val="85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900">
              <a:solidFill>
                <a:sysClr val="windowText" lastClr="000000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fill_OuterCols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de-DE" sz="1050">
            <a:solidFill>
              <a:sysClr val="windowText" lastClr="000000"/>
            </a:solidFill>
            <a:effectLst/>
            <a:latin typeface="+mn-lt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388620</xdr:colOff>
      <xdr:row>13</xdr:row>
      <xdr:rowOff>144780</xdr:rowOff>
    </xdr:from>
    <xdr:to>
      <xdr:col>6</xdr:col>
      <xdr:colOff>876300</xdr:colOff>
      <xdr:row>16</xdr:row>
      <xdr:rowOff>137160</xdr:rowOff>
    </xdr:to>
    <xdr:sp macro="" textlink="">
      <xdr:nvSpPr>
        <xdr:cNvPr id="20" name="Rechteck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>
          <a:off x="5143500" y="2811780"/>
          <a:ext cx="1280160" cy="541020"/>
        </a:xfrm>
        <a:prstGeom prst="rect">
          <a:avLst/>
        </a:prstGeom>
        <a:solidFill>
          <a:schemeClr val="bg1"/>
        </a:soli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000" b="1">
              <a:solidFill>
                <a:sysClr val="windowText" lastClr="000000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InsertInit_NewRow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de-DE" sz="900">
            <a:solidFill>
              <a:sysClr val="windowText" lastClr="000000"/>
            </a:solidFill>
            <a:effectLst/>
            <a:latin typeface="+mn-lt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532471</xdr:colOff>
      <xdr:row>15</xdr:row>
      <xdr:rowOff>40677</xdr:rowOff>
    </xdr:from>
    <xdr:to>
      <xdr:col>6</xdr:col>
      <xdr:colOff>710806</xdr:colOff>
      <xdr:row>16</xdr:row>
      <xdr:rowOff>55202</xdr:rowOff>
    </xdr:to>
    <xdr:sp macro="" textlink="">
      <xdr:nvSpPr>
        <xdr:cNvPr id="21" name="Rechteck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5287351" y="3073437"/>
          <a:ext cx="970815" cy="197405"/>
        </a:xfrm>
        <a:prstGeom prst="rect">
          <a:avLst/>
        </a:prstGeom>
        <a:solidFill>
          <a:srgbClr val="FFB9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900">
              <a:solidFill>
                <a:sysClr val="windowText" lastClr="000000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ColorNCopy</a:t>
          </a:r>
        </a:p>
      </xdr:txBody>
    </xdr:sp>
    <xdr:clientData/>
  </xdr:twoCellAnchor>
  <xdr:twoCellAnchor editAs="oneCell">
    <xdr:from>
      <xdr:col>2</xdr:col>
      <xdr:colOff>441958</xdr:colOff>
      <xdr:row>24</xdr:row>
      <xdr:rowOff>167640</xdr:rowOff>
    </xdr:from>
    <xdr:to>
      <xdr:col>4</xdr:col>
      <xdr:colOff>624991</xdr:colOff>
      <xdr:row>31</xdr:row>
      <xdr:rowOff>22967</xdr:rowOff>
    </xdr:to>
    <xdr:pic>
      <xdr:nvPicPr>
        <xdr:cNvPr id="23" name="Grafik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19398" y="4846320"/>
          <a:ext cx="1767993" cy="1234547"/>
        </a:xfrm>
        <a:prstGeom prst="rect">
          <a:avLst/>
        </a:prstGeom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</xdr:col>
      <xdr:colOff>60960</xdr:colOff>
      <xdr:row>1</xdr:row>
      <xdr:rowOff>167640</xdr:rowOff>
    </xdr:from>
    <xdr:to>
      <xdr:col>2</xdr:col>
      <xdr:colOff>487680</xdr:colOff>
      <xdr:row>3</xdr:row>
      <xdr:rowOff>99060</xdr:rowOff>
    </xdr:to>
    <xdr:sp macro="" textlink="">
      <xdr:nvSpPr>
        <xdr:cNvPr id="25" name="Pfeil nach rechts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/>
      </xdr:nvSpPr>
      <xdr:spPr>
        <a:xfrm>
          <a:off x="1645920" y="716280"/>
          <a:ext cx="1219200" cy="297180"/>
        </a:xfrm>
        <a:prstGeom prst="rightArrow">
          <a:avLst/>
        </a:prstGeom>
        <a:solidFill>
          <a:schemeClr val="tx2"/>
        </a:solidFill>
        <a:ln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de-DE" sz="8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+mn-lt"/>
              <a:ea typeface="+mn-ea"/>
              <a:cs typeface="+mn-cs"/>
            </a:rPr>
            <a:t>CALL</a:t>
          </a:r>
        </a:p>
      </xdr:txBody>
    </xdr:sp>
    <xdr:clientData/>
  </xdr:twoCellAnchor>
  <xdr:twoCellAnchor>
    <xdr:from>
      <xdr:col>3</xdr:col>
      <xdr:colOff>502920</xdr:colOff>
      <xdr:row>17</xdr:row>
      <xdr:rowOff>38100</xdr:rowOff>
    </xdr:from>
    <xdr:to>
      <xdr:col>3</xdr:col>
      <xdr:colOff>701040</xdr:colOff>
      <xdr:row>24</xdr:row>
      <xdr:rowOff>83820</xdr:rowOff>
    </xdr:to>
    <xdr:sp macro="" textlink="">
      <xdr:nvSpPr>
        <xdr:cNvPr id="26" name="Pfeil nach unten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/>
      </xdr:nvSpPr>
      <xdr:spPr>
        <a:xfrm>
          <a:off x="3672840" y="3070860"/>
          <a:ext cx="198120" cy="1341120"/>
        </a:xfrm>
        <a:prstGeom prst="downArrow">
          <a:avLst>
            <a:gd name="adj1" fmla="val 50000"/>
            <a:gd name="adj2" fmla="val 119231"/>
          </a:avLst>
        </a:prstGeom>
        <a:solidFill>
          <a:schemeClr val="bg1">
            <a:lumMod val="85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de-DE" sz="11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710986</xdr:colOff>
      <xdr:row>11</xdr:row>
      <xdr:rowOff>143723</xdr:rowOff>
    </xdr:from>
    <xdr:to>
      <xdr:col>5</xdr:col>
      <xdr:colOff>108826</xdr:colOff>
      <xdr:row>12</xdr:row>
      <xdr:rowOff>178409</xdr:rowOff>
    </xdr:to>
    <xdr:sp macro="" textlink="">
      <xdr:nvSpPr>
        <xdr:cNvPr id="27" name="Rechteck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/>
      </xdr:nvSpPr>
      <xdr:spPr>
        <a:xfrm>
          <a:off x="3880906" y="2444963"/>
          <a:ext cx="982800" cy="217566"/>
        </a:xfrm>
        <a:prstGeom prst="rect">
          <a:avLst/>
        </a:prstGeom>
        <a:solidFill>
          <a:srgbClr val="FFC000"/>
        </a:solidFill>
        <a:ln w="12700">
          <a:solidFill>
            <a:srgbClr val="FF995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9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NewEoId</a:t>
          </a:r>
        </a:p>
      </xdr:txBody>
    </xdr:sp>
    <xdr:clientData/>
  </xdr:twoCellAnchor>
  <xdr:twoCellAnchor>
    <xdr:from>
      <xdr:col>5</xdr:col>
      <xdr:colOff>144780</xdr:colOff>
      <xdr:row>11</xdr:row>
      <xdr:rowOff>121920</xdr:rowOff>
    </xdr:from>
    <xdr:to>
      <xdr:col>5</xdr:col>
      <xdr:colOff>449580</xdr:colOff>
      <xdr:row>13</xdr:row>
      <xdr:rowOff>7620</xdr:rowOff>
    </xdr:to>
    <xdr:sp macro="" textlink="">
      <xdr:nvSpPr>
        <xdr:cNvPr id="28" name="Pfeil nach links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SpPr/>
      </xdr:nvSpPr>
      <xdr:spPr>
        <a:xfrm>
          <a:off x="4899660" y="2423160"/>
          <a:ext cx="304800" cy="251460"/>
        </a:xfrm>
        <a:prstGeom prst="leftArrow">
          <a:avLst>
            <a:gd name="adj1" fmla="val 50000"/>
            <a:gd name="adj2" fmla="val 50000"/>
          </a:avLst>
        </a:prstGeom>
        <a:solidFill>
          <a:srgbClr val="FFC000"/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de-DE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312420</xdr:colOff>
      <xdr:row>11</xdr:row>
      <xdr:rowOff>99060</xdr:rowOff>
    </xdr:from>
    <xdr:to>
      <xdr:col>3</xdr:col>
      <xdr:colOff>297180</xdr:colOff>
      <xdr:row>12</xdr:row>
      <xdr:rowOff>167640</xdr:rowOff>
    </xdr:to>
    <xdr:sp macro="" textlink="">
      <xdr:nvSpPr>
        <xdr:cNvPr id="29" name="Pfeil nach links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SpPr/>
      </xdr:nvSpPr>
      <xdr:spPr>
        <a:xfrm>
          <a:off x="2689860" y="2400300"/>
          <a:ext cx="777240" cy="251460"/>
        </a:xfrm>
        <a:prstGeom prst="leftArrow">
          <a:avLst>
            <a:gd name="adj1" fmla="val 50000"/>
            <a:gd name="adj2" fmla="val 71212"/>
          </a:avLst>
        </a:prstGeom>
        <a:solidFill>
          <a:srgbClr val="FFC000"/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de-DE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63286</xdr:colOff>
      <xdr:row>11</xdr:row>
      <xdr:rowOff>120863</xdr:rowOff>
    </xdr:from>
    <xdr:to>
      <xdr:col>2</xdr:col>
      <xdr:colOff>253606</xdr:colOff>
      <xdr:row>12</xdr:row>
      <xdr:rowOff>155549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/>
      </xdr:nvSpPr>
      <xdr:spPr>
        <a:xfrm>
          <a:off x="1648246" y="2422103"/>
          <a:ext cx="982800" cy="217566"/>
        </a:xfrm>
        <a:prstGeom prst="rect">
          <a:avLst/>
        </a:prstGeom>
        <a:solidFill>
          <a:srgbClr val="FFC000"/>
        </a:solidFill>
        <a:ln w="12700">
          <a:solidFill>
            <a:srgbClr val="FF995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9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NewEoId</a:t>
          </a:r>
        </a:p>
      </xdr:txBody>
    </xdr:sp>
    <xdr:clientData/>
  </xdr:twoCellAnchor>
  <xdr:twoCellAnchor>
    <xdr:from>
      <xdr:col>2</xdr:col>
      <xdr:colOff>647701</xdr:colOff>
      <xdr:row>11</xdr:row>
      <xdr:rowOff>152403</xdr:rowOff>
    </xdr:from>
    <xdr:to>
      <xdr:col>3</xdr:col>
      <xdr:colOff>640083</xdr:colOff>
      <xdr:row>24</xdr:row>
      <xdr:rowOff>76204</xdr:rowOff>
    </xdr:to>
    <xdr:sp macro="" textlink="">
      <xdr:nvSpPr>
        <xdr:cNvPr id="32" name="Rechteckiger Pfeil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>
          <a:spLocks/>
        </xdr:cNvSpPr>
      </xdr:nvSpPr>
      <xdr:spPr>
        <a:xfrm rot="5400000" flipV="1">
          <a:off x="2266951" y="3211833"/>
          <a:ext cx="2301241" cy="784862"/>
        </a:xfrm>
        <a:prstGeom prst="bentArrow">
          <a:avLst>
            <a:gd name="adj1" fmla="val 19321"/>
            <a:gd name="adj2" fmla="val 16559"/>
            <a:gd name="adj3" fmla="val 28745"/>
            <a:gd name="adj4" fmla="val 43750"/>
          </a:avLst>
        </a:prstGeom>
        <a:solidFill>
          <a:srgbClr val="FFC000"/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de-DE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731520</xdr:colOff>
      <xdr:row>2</xdr:row>
      <xdr:rowOff>129540</xdr:rowOff>
    </xdr:from>
    <xdr:to>
      <xdr:col>5</xdr:col>
      <xdr:colOff>251460</xdr:colOff>
      <xdr:row>4</xdr:row>
      <xdr:rowOff>137160</xdr:rowOff>
    </xdr:to>
    <xdr:sp macro="" textlink="">
      <xdr:nvSpPr>
        <xdr:cNvPr id="34" name="Pfeil nach rechts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SpPr/>
      </xdr:nvSpPr>
      <xdr:spPr>
        <a:xfrm>
          <a:off x="3901440" y="861060"/>
          <a:ext cx="1104900" cy="297180"/>
        </a:xfrm>
        <a:prstGeom prst="rightArrow">
          <a:avLst/>
        </a:prstGeom>
        <a:solidFill>
          <a:schemeClr val="tx2"/>
        </a:solidFill>
        <a:ln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de-DE" sz="8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+mn-lt"/>
              <a:ea typeface="+mn-ea"/>
              <a:cs typeface="+mn-cs"/>
            </a:rPr>
            <a:t>CALL</a:t>
          </a:r>
        </a:p>
      </xdr:txBody>
    </xdr:sp>
    <xdr:clientData/>
  </xdr:twoCellAnchor>
  <xdr:twoCellAnchor>
    <xdr:from>
      <xdr:col>5</xdr:col>
      <xdr:colOff>556260</xdr:colOff>
      <xdr:row>5</xdr:row>
      <xdr:rowOff>0</xdr:rowOff>
    </xdr:from>
    <xdr:to>
      <xdr:col>6</xdr:col>
      <xdr:colOff>944880</xdr:colOff>
      <xdr:row>6</xdr:row>
      <xdr:rowOff>114300</xdr:rowOff>
    </xdr:to>
    <xdr:sp macro="" textlink="">
      <xdr:nvSpPr>
        <xdr:cNvPr id="35" name="Pfeil nach rechts 34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SpPr/>
      </xdr:nvSpPr>
      <xdr:spPr>
        <a:xfrm>
          <a:off x="5311140" y="1203960"/>
          <a:ext cx="1181100" cy="297180"/>
        </a:xfrm>
        <a:prstGeom prst="rightArrow">
          <a:avLst/>
        </a:prstGeom>
        <a:solidFill>
          <a:schemeClr val="tx2"/>
        </a:solidFill>
        <a:ln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de-DE" sz="8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+mn-lt"/>
              <a:ea typeface="+mn-ea"/>
              <a:cs typeface="+mn-cs"/>
            </a:rPr>
            <a:t>CALL</a:t>
          </a:r>
        </a:p>
      </xdr:txBody>
    </xdr:sp>
    <xdr:clientData/>
  </xdr:twoCellAnchor>
  <xdr:twoCellAnchor>
    <xdr:from>
      <xdr:col>6</xdr:col>
      <xdr:colOff>1233511</xdr:colOff>
      <xdr:row>18</xdr:row>
      <xdr:rowOff>168511</xdr:rowOff>
    </xdr:from>
    <xdr:to>
      <xdr:col>8</xdr:col>
      <xdr:colOff>162166</xdr:colOff>
      <xdr:row>21</xdr:row>
      <xdr:rowOff>137160</xdr:rowOff>
    </xdr:to>
    <xdr:sp macro="" textlink="">
      <xdr:nvSpPr>
        <xdr:cNvPr id="41" name="Rechteck 40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SpPr/>
      </xdr:nvSpPr>
      <xdr:spPr>
        <a:xfrm>
          <a:off x="6780871" y="3749911"/>
          <a:ext cx="970815" cy="517289"/>
        </a:xfrm>
        <a:prstGeom prst="rect">
          <a:avLst/>
        </a:prstGeom>
        <a:solidFill>
          <a:schemeClr val="accent5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900">
              <a:solidFill>
                <a:sysClr val="windowText" lastClr="000000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my_Protocol.</a:t>
          </a:r>
          <a:br>
            <a:rPr lang="de-DE" sz="900">
              <a:solidFill>
                <a:sysClr val="windowText" lastClr="000000"/>
              </a:solidFill>
              <a:effectLst/>
              <a:latin typeface="+mn-lt"/>
              <a:ea typeface="+mn-ea"/>
              <a:cs typeface="Arial" panose="020B0604020202020204" pitchFamily="34" charset="0"/>
            </a:rPr>
          </a:br>
          <a:r>
            <a:rPr lang="de-DE" sz="900">
              <a:solidFill>
                <a:sysClr val="windowText" lastClr="000000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NewEintragungsObjekt</a:t>
          </a:r>
        </a:p>
      </xdr:txBody>
    </xdr:sp>
    <xdr:clientData/>
  </xdr:twoCellAnchor>
  <xdr:twoCellAnchor>
    <xdr:from>
      <xdr:col>6</xdr:col>
      <xdr:colOff>1245870</xdr:colOff>
      <xdr:row>20</xdr:row>
      <xdr:rowOff>167640</xdr:rowOff>
    </xdr:from>
    <xdr:to>
      <xdr:col>7</xdr:col>
      <xdr:colOff>34290</xdr:colOff>
      <xdr:row>25</xdr:row>
      <xdr:rowOff>175260</xdr:rowOff>
    </xdr:to>
    <xdr:sp macro="" textlink="">
      <xdr:nvSpPr>
        <xdr:cNvPr id="43" name="Pfeil nach links 4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SpPr/>
      </xdr:nvSpPr>
      <xdr:spPr>
        <a:xfrm rot="16200000">
          <a:off x="6457950" y="4465320"/>
          <a:ext cx="922020" cy="251460"/>
        </a:xfrm>
        <a:prstGeom prst="leftArrow">
          <a:avLst>
            <a:gd name="adj1" fmla="val 50000"/>
            <a:gd name="adj2" fmla="val 71212"/>
          </a:avLst>
        </a:prstGeom>
        <a:solidFill>
          <a:srgbClr val="FFC000"/>
        </a:solidFill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de-DE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707731</xdr:colOff>
      <xdr:row>18</xdr:row>
      <xdr:rowOff>168511</xdr:rowOff>
    </xdr:from>
    <xdr:to>
      <xdr:col>5</xdr:col>
      <xdr:colOff>93586</xdr:colOff>
      <xdr:row>21</xdr:row>
      <xdr:rowOff>137160</xdr:rowOff>
    </xdr:to>
    <xdr:sp macro="" textlink="">
      <xdr:nvSpPr>
        <xdr:cNvPr id="44" name="Rechteck 43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SpPr/>
      </xdr:nvSpPr>
      <xdr:spPr>
        <a:xfrm>
          <a:off x="3877651" y="3749911"/>
          <a:ext cx="970815" cy="517289"/>
        </a:xfrm>
        <a:prstGeom prst="rect">
          <a:avLst/>
        </a:prstGeom>
        <a:solidFill>
          <a:schemeClr val="accent5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900">
              <a:solidFill>
                <a:sysClr val="windowText" lastClr="000000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my_Protocol.</a:t>
          </a:r>
          <a:br>
            <a:rPr lang="de-DE" sz="900">
              <a:solidFill>
                <a:sysClr val="windowText" lastClr="000000"/>
              </a:solidFill>
              <a:effectLst/>
              <a:latin typeface="+mn-lt"/>
              <a:ea typeface="+mn-ea"/>
              <a:cs typeface="Arial" panose="020B0604020202020204" pitchFamily="34" charset="0"/>
            </a:rPr>
          </a:br>
          <a:r>
            <a:rPr lang="de-DE" sz="900">
              <a:solidFill>
                <a:sysClr val="windowText" lastClr="000000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NewSheetEntry</a:t>
          </a:r>
        </a:p>
      </xdr:txBody>
    </xdr:sp>
    <xdr:clientData/>
  </xdr:twoCellAnchor>
  <xdr:twoCellAnchor>
    <xdr:from>
      <xdr:col>3</xdr:col>
      <xdr:colOff>167640</xdr:colOff>
      <xdr:row>15</xdr:row>
      <xdr:rowOff>80010</xdr:rowOff>
    </xdr:from>
    <xdr:to>
      <xdr:col>5</xdr:col>
      <xdr:colOff>472440</xdr:colOff>
      <xdr:row>24</xdr:row>
      <xdr:rowOff>91440</xdr:rowOff>
    </xdr:to>
    <xdr:sp macro="" textlink="">
      <xdr:nvSpPr>
        <xdr:cNvPr id="45" name="Rechteckiger Pfeil 44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SpPr/>
      </xdr:nvSpPr>
      <xdr:spPr>
        <a:xfrm rot="16200000" flipH="1">
          <a:off x="3453765" y="2996565"/>
          <a:ext cx="1657350" cy="1889760"/>
        </a:xfrm>
        <a:prstGeom prst="bentArrow">
          <a:avLst>
            <a:gd name="adj1" fmla="val 6505"/>
            <a:gd name="adj2" fmla="val 7759"/>
            <a:gd name="adj3" fmla="val 13489"/>
            <a:gd name="adj4" fmla="val 16306"/>
          </a:avLst>
        </a:prstGeom>
        <a:solidFill>
          <a:srgbClr val="FFB9FF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708660</xdr:colOff>
      <xdr:row>21</xdr:row>
      <xdr:rowOff>15239</xdr:rowOff>
    </xdr:from>
    <xdr:to>
      <xdr:col>6</xdr:col>
      <xdr:colOff>701039</xdr:colOff>
      <xdr:row>30</xdr:row>
      <xdr:rowOff>160016</xdr:rowOff>
    </xdr:to>
    <xdr:sp macro="" textlink="">
      <xdr:nvSpPr>
        <xdr:cNvPr id="48" name="Rechteckiger Pfeil 47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SpPr/>
      </xdr:nvSpPr>
      <xdr:spPr>
        <a:xfrm rot="10800000" flipH="1">
          <a:off x="4671060" y="4145279"/>
          <a:ext cx="1577339" cy="1889757"/>
        </a:xfrm>
        <a:prstGeom prst="bentArrow">
          <a:avLst>
            <a:gd name="adj1" fmla="val 8418"/>
            <a:gd name="adj2" fmla="val 8553"/>
            <a:gd name="adj3" fmla="val 10663"/>
            <a:gd name="adj4" fmla="val 43750"/>
          </a:avLst>
        </a:prstGeom>
        <a:solidFill>
          <a:srgbClr val="FFC000"/>
        </a:solidFill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de-DE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731520</xdr:colOff>
      <xdr:row>25</xdr:row>
      <xdr:rowOff>220980</xdr:rowOff>
    </xdr:from>
    <xdr:to>
      <xdr:col>11</xdr:col>
      <xdr:colOff>213360</xdr:colOff>
      <xdr:row>31</xdr:row>
      <xdr:rowOff>38100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GrpSpPr/>
      </xdr:nvGrpSpPr>
      <xdr:grpSpPr>
        <a:xfrm>
          <a:off x="5486400" y="4742180"/>
          <a:ext cx="2987040" cy="1016000"/>
          <a:chOff x="6278880" y="5097780"/>
          <a:chExt cx="2987040" cy="1013460"/>
        </a:xfrm>
      </xdr:grpSpPr>
      <xdr:sp macro="" textlink="">
        <xdr:nvSpPr>
          <xdr:cNvPr id="31" name="Rechteck 30">
            <a:extLst>
              <a:ext uri="{FF2B5EF4-FFF2-40B4-BE49-F238E27FC236}">
                <a16:creationId xmlns:a16="http://schemas.microsoft.com/office/drawing/2014/main" id="{00000000-0008-0000-0B00-00001F000000}"/>
              </a:ext>
            </a:extLst>
          </xdr:cNvPr>
          <xdr:cNvSpPr/>
        </xdr:nvSpPr>
        <xdr:spPr>
          <a:xfrm>
            <a:off x="6278880" y="5097780"/>
            <a:ext cx="2987040" cy="1013460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000" b="1">
                <a:solidFill>
                  <a:schemeClr val="tx1"/>
                </a:solidFill>
              </a:rPr>
              <a:t>Macro Excel File</a:t>
            </a:r>
          </a:p>
        </xdr:txBody>
      </xdr:sp>
      <xdr:pic>
        <xdr:nvPicPr>
          <xdr:cNvPr id="49" name="Grafik 48">
            <a:extLst>
              <a:ext uri="{FF2B5EF4-FFF2-40B4-BE49-F238E27FC236}">
                <a16:creationId xmlns:a16="http://schemas.microsoft.com/office/drawing/2014/main" id="{00000000-0008-0000-0B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416040" y="5356860"/>
            <a:ext cx="2751059" cy="662997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716280</xdr:colOff>
      <xdr:row>32</xdr:row>
      <xdr:rowOff>7620</xdr:rowOff>
    </xdr:from>
    <xdr:to>
      <xdr:col>6</xdr:col>
      <xdr:colOff>640080</xdr:colOff>
      <xdr:row>35</xdr:row>
      <xdr:rowOff>91440</xdr:rowOff>
    </xdr:to>
    <xdr:sp macro="" textlink="">
      <xdr:nvSpPr>
        <xdr:cNvPr id="52" name="Abgerundete rechteckige Legende 51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SpPr/>
      </xdr:nvSpPr>
      <xdr:spPr>
        <a:xfrm>
          <a:off x="4678680" y="6263640"/>
          <a:ext cx="1508760" cy="632460"/>
        </a:xfrm>
        <a:prstGeom prst="wedgeRoundRectCallout">
          <a:avLst>
            <a:gd name="adj1" fmla="val -112"/>
            <a:gd name="adj2" fmla="val -100658"/>
            <a:gd name="adj3" fmla="val 16667"/>
          </a:avLst>
        </a:prstGeom>
        <a:solidFill>
          <a:sysClr val="window" lastClr="FFFFFF"/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9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Here</a:t>
          </a:r>
          <a:r>
            <a:rPr lang="de-DE" sz="9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the cell values are used ( instead of ID_...) to see errors in assignment </a:t>
          </a:r>
          <a:r>
            <a:rPr lang="de-D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ere the</a:t>
          </a:r>
          <a:r>
            <a:rPr lang="de-D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D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cell values are used (instead of ID...)</a:t>
          </a:r>
          <a:r>
            <a:rPr lang="de-D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to see errors in assignments</a:t>
          </a:r>
          <a:endParaRPr lang="de-DE" sz="900">
            <a:effectLst/>
          </a:endParaRPr>
        </a:p>
        <a:p>
          <a:pPr marL="0" indent="0" algn="l"/>
          <a:endParaRPr lang="de-DE" sz="9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</xdr:colOff>
      <xdr:row>1</xdr:row>
      <xdr:rowOff>91440</xdr:rowOff>
    </xdr:from>
    <xdr:to>
      <xdr:col>9</xdr:col>
      <xdr:colOff>167640</xdr:colOff>
      <xdr:row>7</xdr:row>
      <xdr:rowOff>13095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47060" y="358140"/>
          <a:ext cx="3055620" cy="1064655"/>
        </a:xfrm>
        <a:prstGeom prst="rect">
          <a:avLst/>
        </a:prstGeom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</xdr:col>
      <xdr:colOff>411481</xdr:colOff>
      <xdr:row>140</xdr:row>
      <xdr:rowOff>129540</xdr:rowOff>
    </xdr:from>
    <xdr:to>
      <xdr:col>11</xdr:col>
      <xdr:colOff>1</xdr:colOff>
      <xdr:row>148</xdr:row>
      <xdr:rowOff>90335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7701" y="21534120"/>
          <a:ext cx="7025640" cy="1423835"/>
        </a:xfrm>
        <a:prstGeom prst="rect">
          <a:avLst/>
        </a:prstGeom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1</xdr:row>
      <xdr:rowOff>83820</xdr:rowOff>
    </xdr:from>
    <xdr:to>
      <xdr:col>6</xdr:col>
      <xdr:colOff>137574</xdr:colOff>
      <xdr:row>11</xdr:row>
      <xdr:rowOff>122055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236220"/>
          <a:ext cx="4778154" cy="1562235"/>
        </a:xfrm>
        <a:prstGeom prst="rect">
          <a:avLst/>
        </a:prstGeom>
      </xdr:spPr>
    </xdr:pic>
    <xdr:clientData/>
  </xdr:twoCellAnchor>
  <xdr:twoCellAnchor>
    <xdr:from>
      <xdr:col>3</xdr:col>
      <xdr:colOff>762000</xdr:colOff>
      <xdr:row>6</xdr:row>
      <xdr:rowOff>114300</xdr:rowOff>
    </xdr:from>
    <xdr:to>
      <xdr:col>4</xdr:col>
      <xdr:colOff>320040</xdr:colOff>
      <xdr:row>11</xdr:row>
      <xdr:rowOff>0</xdr:rowOff>
    </xdr:to>
    <xdr:sp macro="" textlink="">
      <xdr:nvSpPr>
        <xdr:cNvPr id="3" name="Geschweifte Klammer recht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872740" y="1028700"/>
          <a:ext cx="373380" cy="647700"/>
        </a:xfrm>
        <a:prstGeom prst="rightBrace">
          <a:avLst/>
        </a:prstGeom>
        <a:ln w="19050">
          <a:solidFill>
            <a:srgbClr val="FF66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4</xdr:col>
      <xdr:colOff>0</xdr:colOff>
      <xdr:row>2</xdr:row>
      <xdr:rowOff>137160</xdr:rowOff>
    </xdr:from>
    <xdr:ext cx="377924" cy="264560"/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 txBox="1"/>
      </xdr:nvSpPr>
      <xdr:spPr>
        <a:xfrm>
          <a:off x="2926080" y="441960"/>
          <a:ext cx="37792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>
              <a:solidFill>
                <a:srgbClr val="FF6600"/>
              </a:solidFill>
            </a:rPr>
            <a:t>JP1</a:t>
          </a:r>
        </a:p>
      </xdr:txBody>
    </xdr:sp>
    <xdr:clientData/>
  </xdr:oneCellAnchor>
  <xdr:oneCellAnchor>
    <xdr:from>
      <xdr:col>6</xdr:col>
      <xdr:colOff>7620</xdr:colOff>
      <xdr:row>7</xdr:row>
      <xdr:rowOff>45720</xdr:rowOff>
    </xdr:from>
    <xdr:ext cx="377924" cy="264560"/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 txBox="1"/>
      </xdr:nvSpPr>
      <xdr:spPr>
        <a:xfrm>
          <a:off x="4914900" y="1112520"/>
          <a:ext cx="37792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>
              <a:solidFill>
                <a:srgbClr val="FF6600"/>
              </a:solidFill>
            </a:rPr>
            <a:t>JP2</a:t>
          </a:r>
        </a:p>
      </xdr:txBody>
    </xdr:sp>
    <xdr:clientData/>
  </xdr:oneCellAnchor>
  <xdr:oneCellAnchor>
    <xdr:from>
      <xdr:col>5</xdr:col>
      <xdr:colOff>960120</xdr:colOff>
      <xdr:row>9</xdr:row>
      <xdr:rowOff>7620</xdr:rowOff>
    </xdr:from>
    <xdr:ext cx="424155" cy="264560"/>
    <xdr:sp macro="" textlink="">
      <xdr:nvSpPr>
        <xdr:cNvPr id="6" name="Textfeld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 txBox="1"/>
      </xdr:nvSpPr>
      <xdr:spPr>
        <a:xfrm>
          <a:off x="4876800" y="1379220"/>
          <a:ext cx="42415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>
              <a:solidFill>
                <a:srgbClr val="FF6600"/>
              </a:solidFill>
            </a:rPr>
            <a:t>NP2</a:t>
          </a:r>
        </a:p>
      </xdr:txBody>
    </xdr:sp>
    <xdr:clientData/>
  </xdr:oneCellAnchor>
  <xdr:oneCellAnchor>
    <xdr:from>
      <xdr:col>3</xdr:col>
      <xdr:colOff>792480</xdr:colOff>
      <xdr:row>4</xdr:row>
      <xdr:rowOff>60960</xdr:rowOff>
    </xdr:from>
    <xdr:ext cx="424155" cy="264560"/>
    <xdr:sp macro="" textlink="">
      <xdr:nvSpPr>
        <xdr:cNvPr id="7" name="Textfeld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 txBox="1"/>
      </xdr:nvSpPr>
      <xdr:spPr>
        <a:xfrm>
          <a:off x="2903220" y="670560"/>
          <a:ext cx="42415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>
              <a:solidFill>
                <a:srgbClr val="FF6600"/>
              </a:solidFill>
            </a:rPr>
            <a:t>NP1</a:t>
          </a:r>
        </a:p>
      </xdr:txBody>
    </xdr:sp>
    <xdr:clientData/>
  </xdr:oneCellAnchor>
  <xdr:oneCellAnchor>
    <xdr:from>
      <xdr:col>2</xdr:col>
      <xdr:colOff>441960</xdr:colOff>
      <xdr:row>8</xdr:row>
      <xdr:rowOff>22860</xdr:rowOff>
    </xdr:from>
    <xdr:ext cx="888769" cy="264560"/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 txBox="1"/>
      </xdr:nvSpPr>
      <xdr:spPr>
        <a:xfrm>
          <a:off x="1638300" y="1242060"/>
          <a:ext cx="88876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>
              <a:solidFill>
                <a:srgbClr val="FF6600"/>
              </a:solidFill>
            </a:rPr>
            <a:t>1 of them!!!</a:t>
          </a:r>
        </a:p>
      </xdr:txBody>
    </xdr:sp>
    <xdr:clientData/>
  </xdr:oneCellAnchor>
  <xdr:twoCellAnchor>
    <xdr:from>
      <xdr:col>9</xdr:col>
      <xdr:colOff>464820</xdr:colOff>
      <xdr:row>36</xdr:row>
      <xdr:rowOff>15240</xdr:rowOff>
    </xdr:from>
    <xdr:to>
      <xdr:col>10</xdr:col>
      <xdr:colOff>228600</xdr:colOff>
      <xdr:row>40</xdr:row>
      <xdr:rowOff>15240</xdr:rowOff>
    </xdr:to>
    <xdr:sp macro="" textlink="">
      <xdr:nvSpPr>
        <xdr:cNvPr id="9" name="Geschweifte Klammer rechts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SpPr/>
      </xdr:nvSpPr>
      <xdr:spPr>
        <a:xfrm>
          <a:off x="8275320" y="5570220"/>
          <a:ext cx="274320" cy="609600"/>
        </a:xfrm>
        <a:prstGeom prst="rightBrace">
          <a:avLst>
            <a:gd name="adj1" fmla="val 10087"/>
            <a:gd name="adj2" fmla="val 50000"/>
          </a:avLst>
        </a:prstGeom>
        <a:ln w="19050">
          <a:solidFill>
            <a:srgbClr val="FF66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7.bin" Type="http://schemas.openxmlformats.org/officeDocument/2006/relationships/printerSettings"/></Relationships>
</file>

<file path=xl/worksheets/_rels/sheet8.xml.rels><?xml version="1.0" encoding="UTF-8" standalone="no"?><Relationships xmlns="http://schemas.openxmlformats.org/package/2006/relationships"><Relationship Id="rId1" Target="../printerSettings/printerSettings8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9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_rels/sheet10.xml.rels><?xml version="1.0" encoding="UTF-8" standalone="no"?><Relationships xmlns="http://schemas.openxmlformats.org/package/2006/relationships"><Relationship Id="rId1" Target="../printerSettings/printerSettings10.bin" Type="http://schemas.openxmlformats.org/officeDocument/2006/relationships/printerSettings"/><Relationship Id="rId2" Target="../drawings/drawing5.xml" Type="http://schemas.openxmlformats.org/officeDocument/2006/relationships/drawing"/></Relationships>
</file>

<file path=xl/worksheets/_rels/sheet11.xml.rels><?xml version="1.0" encoding="UTF-8" standalone="no"?><Relationships xmlns="http://schemas.openxmlformats.org/package/2006/relationships"><Relationship Id="rId1" Target="../printerSettings/printerSettings11.bin" Type="http://schemas.openxmlformats.org/officeDocument/2006/relationships/printerSettings"/></Relationships>
</file>

<file path=xl/worksheets/_rels/sheet12.xml.rels><?xml version="1.0" encoding="UTF-8" standalone="no"?><Relationships xmlns="http://schemas.openxmlformats.org/package/2006/relationships"><Relationship Id="rId1" Target="../printerSettings/printerSettings12.bin" Type="http://schemas.openxmlformats.org/officeDocument/2006/relationships/printerSettings"/><Relationship Id="rId2" Target="../drawings/drawing6.xml" Type="http://schemas.openxmlformats.org/officeDocument/2006/relationships/drawing"/></Relationships>
</file>

<file path=xl/worksheets/_rels/sheet13.xml.rels><?xml version="1.0" encoding="UTF-8" standalone="no"?><Relationships xmlns="http://schemas.openxmlformats.org/package/2006/relationships"><Relationship Id="rId1" Target="../printerSettings/printerSettings13.bin" Type="http://schemas.openxmlformats.org/officeDocument/2006/relationships/printerSettings"/></Relationships>
</file>

<file path=xl/worksheets/_rels/sheet14.xml.rels><?xml version="1.0" encoding="UTF-8" standalone="no"?><Relationships xmlns="http://schemas.openxmlformats.org/package/2006/relationships"><Relationship Id="rId1" Target="../printerSettings/printerSettings14.bin" Type="http://schemas.openxmlformats.org/officeDocument/2006/relationships/printerSettings"/></Relationships>
</file>

<file path=xl/worksheets/_rels/sheet15.xml.rels><?xml version="1.0" encoding="UTF-8" standalone="no"?><Relationships xmlns="http://schemas.openxmlformats.org/package/2006/relationships"><Relationship Id="rId1" Target="../printerSettings/printerSettings15.bin" Type="http://schemas.openxmlformats.org/officeDocument/2006/relationships/printerSettings"/></Relationships>
</file>

<file path=xl/worksheets/_rels/sheet16.xml.rels><?xml version="1.0" encoding="UTF-8" standalone="no"?><Relationships xmlns="http://schemas.openxmlformats.org/package/2006/relationships"><Relationship Id="rId1" Target="../printerSettings/printerSettings16.bin" Type="http://schemas.openxmlformats.org/officeDocument/2006/relationships/printerSettings"/></Relationships>
</file>

<file path=xl/worksheets/_rels/sheet17.xml.rels><?xml version="1.0" encoding="UTF-8" standalone="no"?><Relationships xmlns="http://schemas.openxmlformats.org/package/2006/relationships"><Relationship Id="rId1" Target="../printerSettings/printerSettings17.bin" Type="http://schemas.openxmlformats.org/officeDocument/2006/relationships/printerSettings"/></Relationships>
</file>

<file path=xl/worksheets/_rels/sheet18.xml.rels><?xml version="1.0" encoding="UTF-8" standalone="no"?><Relationships xmlns="http://schemas.openxmlformats.org/package/2006/relationships"><Relationship Id="rId1" Target="../printerSettings/printerSettings18.bin" Type="http://schemas.openxmlformats.org/officeDocument/2006/relationships/printerSettings"/></Relationships>
</file>

<file path=xl/worksheets/_rels/sheet19.xml.rels><?xml version="1.0" encoding="UTF-8" standalone="no"?><Relationships xmlns="http://schemas.openxmlformats.org/package/2006/relationships"><Relationship Id="rId1" Target="../printerSettings/printerSettings19.bin" Type="http://schemas.openxmlformats.org/officeDocument/2006/relationships/printerSettings"/><Relationship Id="rId2" Target="../drawings/drawing7.xml" Type="http://schemas.openxmlformats.org/officeDocument/2006/relationships/drawing"/></Relationships>
</file>

<file path=xl/worksheets/_rels/sheet20.xml.rels><?xml version="1.0" encoding="UTF-8" standalone="no"?><Relationships xmlns="http://schemas.openxmlformats.org/package/2006/relationships"><Relationship Id="rId1" Target="../printerSettings/printerSettings20.bin" Type="http://schemas.openxmlformats.org/officeDocument/2006/relationships/printerSettings"/></Relationships>
</file>

<file path=xl/worksheets/_rels/sheet21.xml.rels><?xml version="1.0" encoding="UTF-8" standalone="no"?><Relationships xmlns="http://schemas.openxmlformats.org/package/2006/relationships"><Relationship Id="rId1" Target="../printerSettings/printerSettings21.bin" Type="http://schemas.openxmlformats.org/officeDocument/2006/relationships/printerSettings"/></Relationships>
</file>

<file path=xl/worksheets/_rels/sheet22.xml.rels><?xml version="1.0" encoding="UTF-8" standalone="no"?><Relationships xmlns="http://schemas.openxmlformats.org/package/2006/relationships"><Relationship Id="rId1" Target="../printerSettings/printerSettings22.bin" Type="http://schemas.openxmlformats.org/officeDocument/2006/relationships/printerSettings"/><Relationship Id="rId2" Target="../drawings/drawing8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 tint="-0.34998626667073579"/>
  </sheetPr>
  <dimension ref="A1:AB143"/>
  <sheetViews>
    <sheetView showGridLines="0" workbookViewId="0">
      <selection activeCell="N21" sqref="N21"/>
    </sheetView>
  </sheetViews>
  <sheetFormatPr baseColWidth="10" defaultColWidth="8.88671875" defaultRowHeight="15" customHeight="1" x14ac:dyDescent="0.3"/>
  <cols>
    <col min="1" max="1" width="4.109375" bestFit="1" customWidth="1"/>
    <col min="2" max="2" width="9.21875" customWidth="1"/>
    <col min="3" max="3" width="6.21875" customWidth="1"/>
    <col min="4" max="4" width="8.33203125" bestFit="1" customWidth="1"/>
    <col min="7" max="7" width="6.44140625" style="1" customWidth="1"/>
    <col min="17" max="17" width="16.5546875" customWidth="1"/>
    <col min="18" max="18" width="8.88671875" customWidth="1"/>
    <col min="19" max="28" width="16.5546875" style="1" customWidth="1"/>
  </cols>
  <sheetData>
    <row r="1" spans="1:28" ht="1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</row>
    <row r="2" spans="1:28" ht="15" customHeight="1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1:28" ht="15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4" spans="1:28" ht="15" customHeight="1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</row>
    <row r="5" spans="1:28" ht="15" customHeight="1" x14ac:dyDescent="0.3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</row>
    <row r="6" spans="1:28" ht="15" customHeight="1" x14ac:dyDescent="0.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</row>
    <row r="7" spans="1:28" ht="15" customHeight="1" x14ac:dyDescent="0.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</row>
    <row r="8" spans="1:28" ht="15" customHeight="1" x14ac:dyDescent="0.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</row>
    <row r="9" spans="1:28" ht="15" customHeight="1" x14ac:dyDescent="0.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</row>
    <row r="10" spans="1:28" ht="15" customHeight="1" x14ac:dyDescent="0.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</row>
    <row r="11" spans="1:28" ht="15" customHeight="1" x14ac:dyDescent="0.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</row>
    <row r="12" spans="1:28" ht="15" customHeight="1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</row>
    <row r="13" spans="1:28" ht="15" customHeight="1" x14ac:dyDescent="0.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</row>
    <row r="14" spans="1:28" ht="15" customHeight="1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</row>
    <row r="15" spans="1:28" ht="15" customHeight="1" x14ac:dyDescent="0.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</row>
    <row r="16" spans="1:28" ht="15" customHeight="1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</row>
    <row r="17" spans="1:28" ht="15" customHeight="1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</row>
    <row r="18" spans="1:28" ht="15" customHeight="1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</row>
    <row r="19" spans="1:28" ht="15" customHeight="1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</row>
    <row r="20" spans="1:28" ht="15" customHeight="1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</row>
    <row r="21" spans="1:28" ht="15" customHeight="1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</row>
    <row r="22" spans="1:28" ht="15" customHeight="1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</row>
    <row r="23" spans="1:28" ht="15" customHeight="1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</row>
    <row r="24" spans="1:28" ht="15" customHeight="1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</row>
    <row r="25" spans="1:28" ht="15" customHeight="1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</row>
    <row r="26" spans="1:28" ht="15" customHeight="1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</row>
    <row r="27" spans="1:28" ht="15" customHeight="1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</row>
    <row r="28" spans="1:28" ht="15" customHeight="1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</row>
    <row r="29" spans="1:28" ht="19.8" customHeight="1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</row>
    <row r="30" spans="1:28" ht="15" customHeight="1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</row>
    <row r="31" spans="1:28" s="1" customFormat="1" ht="19.8" customHeight="1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s="1" customFormat="1" ht="19.8" customHeight="1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s="1" customFormat="1" ht="19.8" customHeight="1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s="1" customFormat="1" ht="19.8" customHeight="1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</row>
    <row r="35" spans="1:28" s="1" customFormat="1" ht="19.8" customHeight="1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</row>
    <row r="36" spans="1:28" s="1" customFormat="1" ht="19.8" customHeight="1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</row>
    <row r="37" spans="1:28" s="1" customFormat="1" ht="19.8" customHeight="1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</row>
    <row r="38" spans="1:28" s="1" customFormat="1" ht="19.8" customHeight="1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</row>
    <row r="39" spans="1:28" s="1" customFormat="1" ht="19.8" customHeight="1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</row>
    <row r="40" spans="1:28" s="1" customFormat="1" ht="19.8" customHeight="1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</row>
    <row r="41" spans="1:28" s="1" customFormat="1" ht="19.8" customHeight="1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</row>
    <row r="42" spans="1:28" s="1" customFormat="1" ht="19.8" customHeight="1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</row>
    <row r="43" spans="1:28" s="1" customFormat="1" ht="19.8" customHeight="1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</row>
    <row r="44" spans="1:28" s="1" customFormat="1" ht="19.8" customHeight="1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</row>
    <row r="45" spans="1:28" s="1" customFormat="1" ht="19.8" customHeight="1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</row>
    <row r="46" spans="1:28" s="1" customFormat="1" ht="19.8" customHeight="1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</row>
    <row r="47" spans="1:28" s="1" customFormat="1" ht="19.8" customHeight="1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</row>
    <row r="48" spans="1:28" s="1" customFormat="1" ht="19.8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</row>
    <row r="49" spans="1:28" s="1" customFormat="1" ht="19.8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</row>
    <row r="50" spans="1:28" s="1" customFormat="1" ht="19.8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</row>
    <row r="51" spans="1:28" s="1" customFormat="1" ht="19.8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</row>
    <row r="52" spans="1:28" s="1" customFormat="1" ht="19.8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</row>
    <row r="53" spans="1:28" s="1" customFormat="1" ht="19.8" customHeight="1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</row>
    <row r="54" spans="1:28" s="1" customFormat="1" ht="19.8" customHeight="1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</row>
    <row r="55" spans="1:28" s="1" customFormat="1" ht="19.8" customHeight="1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</row>
    <row r="56" spans="1:28" s="1" customFormat="1" ht="19.8" customHeight="1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</row>
    <row r="57" spans="1:28" s="1" customFormat="1" ht="19.8" customHeight="1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</row>
    <row r="58" spans="1:28" s="1" customFormat="1" ht="19.8" customHeight="1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</row>
    <row r="59" spans="1:28" s="1" customFormat="1" ht="19.8" customHeight="1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</row>
    <row r="60" spans="1:28" s="1" customFormat="1" ht="19.8" customHeight="1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</row>
    <row r="61" spans="1:28" s="1" customFormat="1" ht="19.8" customHeight="1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</row>
    <row r="62" spans="1:28" s="1" customFormat="1" ht="19.8" customHeight="1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</row>
    <row r="63" spans="1:28" s="1" customFormat="1" ht="19.8" customHeight="1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</row>
    <row r="64" spans="1:28" s="1" customFormat="1" ht="19.8" customHeight="1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</row>
    <row r="65" spans="1:28" s="1" customFormat="1" ht="19.8" customHeight="1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</row>
    <row r="66" spans="1:28" s="1" customFormat="1" ht="19.8" customHeight="1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</row>
    <row r="67" spans="1:28" s="1" customFormat="1" ht="19.8" customHeight="1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</row>
    <row r="68" spans="1:28" s="1" customFormat="1" ht="19.8" customHeight="1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</row>
    <row r="69" spans="1:28" s="1" customFormat="1" ht="19.8" customHeight="1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</row>
    <row r="70" spans="1:28" s="1" customFormat="1" ht="19.8" customHeight="1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</row>
    <row r="71" spans="1:28" s="1" customFormat="1" ht="19.8" customHeight="1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</row>
    <row r="72" spans="1:28" s="1" customFormat="1" ht="19.8" customHeight="1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</row>
    <row r="73" spans="1:28" s="1" customFormat="1" ht="19.8" customHeight="1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</row>
    <row r="74" spans="1:28" s="1" customFormat="1" ht="19.8" customHeight="1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</row>
    <row r="75" spans="1:28" s="1" customFormat="1" ht="19.8" customHeight="1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</row>
    <row r="76" spans="1:28" s="1" customFormat="1" ht="19.8" customHeight="1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</row>
    <row r="77" spans="1:28" s="1" customFormat="1" ht="19.8" customHeight="1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</row>
    <row r="78" spans="1:28" s="1" customFormat="1" ht="19.8" customHeight="1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</row>
    <row r="79" spans="1:28" s="1" customFormat="1" ht="19.8" customHeight="1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</row>
    <row r="80" spans="1:28" s="1" customFormat="1" ht="19.8" customHeight="1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</row>
    <row r="81" spans="1:28" s="1" customFormat="1" ht="19.8" customHeight="1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</row>
    <row r="82" spans="1:28" s="1" customFormat="1" ht="19.8" customHeight="1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</row>
    <row r="83" spans="1:28" s="1" customFormat="1" ht="19.8" customHeight="1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</row>
    <row r="84" spans="1:28" s="1" customFormat="1" ht="19.8" customHeight="1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</row>
    <row r="85" spans="1:28" s="1" customFormat="1" ht="19.8" customHeight="1" x14ac:dyDescent="0.3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</row>
    <row r="86" spans="1:28" s="1" customFormat="1" ht="19.8" customHeight="1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</row>
    <row r="87" spans="1:28" s="1" customFormat="1" ht="19.8" customHeight="1" x14ac:dyDescent="0.3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</row>
    <row r="88" spans="1:28" s="1" customFormat="1" ht="19.8" customHeight="1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</row>
    <row r="89" spans="1:28" s="1" customFormat="1" ht="19.8" customHeight="1" x14ac:dyDescent="0.3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</row>
    <row r="90" spans="1:28" s="1" customFormat="1" ht="19.8" customHeight="1" x14ac:dyDescent="0.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</row>
    <row r="91" spans="1:28" s="1" customFormat="1" ht="19.8" customHeight="1" x14ac:dyDescent="0.3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</row>
    <row r="92" spans="1:28" s="1" customFormat="1" ht="19.8" customHeight="1" x14ac:dyDescent="0.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</row>
    <row r="93" spans="1:28" s="1" customFormat="1" ht="19.8" customHeight="1" x14ac:dyDescent="0.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</row>
    <row r="94" spans="1:28" s="1" customFormat="1" ht="19.8" customHeight="1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</row>
    <row r="95" spans="1:28" s="1" customFormat="1" ht="19.8" customHeight="1" x14ac:dyDescent="0.3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</row>
    <row r="96" spans="1:28" s="1" customFormat="1" ht="19.8" customHeight="1" x14ac:dyDescent="0.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</row>
    <row r="97" spans="1:28" s="1" customFormat="1" ht="19.8" customHeight="1" x14ac:dyDescent="0.3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</row>
    <row r="98" spans="1:28" s="1" customFormat="1" ht="19.8" customHeight="1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</row>
    <row r="99" spans="1:28" s="1" customFormat="1" ht="19.8" customHeight="1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</row>
    <row r="100" spans="1:28" s="1" customFormat="1" ht="19.8" customHeight="1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</row>
    <row r="101" spans="1:28" s="1" customFormat="1" ht="19.8" customHeight="1" x14ac:dyDescent="0.3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</row>
    <row r="102" spans="1:28" s="1" customFormat="1" ht="19.8" customHeight="1" x14ac:dyDescent="0.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</row>
    <row r="103" spans="1:28" s="1" customFormat="1" ht="19.8" customHeight="1" x14ac:dyDescent="0.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</row>
    <row r="104" spans="1:28" s="1" customFormat="1" ht="19.8" customHeight="1" x14ac:dyDescent="0.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</row>
    <row r="105" spans="1:28" s="1" customFormat="1" ht="19.8" customHeight="1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</row>
    <row r="106" spans="1:28" s="1" customFormat="1" ht="19.8" customHeight="1" x14ac:dyDescent="0.3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</row>
    <row r="107" spans="1:28" s="1" customFormat="1" ht="19.8" customHeight="1" x14ac:dyDescent="0.3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</row>
    <row r="108" spans="1:28" s="1" customFormat="1" ht="19.8" customHeight="1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</row>
    <row r="109" spans="1:28" s="1" customFormat="1" ht="19.8" customHeight="1" x14ac:dyDescent="0.3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</row>
    <row r="110" spans="1:28" s="1" customFormat="1" ht="19.8" customHeight="1" x14ac:dyDescent="0.3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</row>
    <row r="111" spans="1:28" s="1" customFormat="1" ht="19.8" customHeight="1" x14ac:dyDescent="0.3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</row>
    <row r="112" spans="1:28" s="1" customFormat="1" ht="19.8" customHeight="1" x14ac:dyDescent="0.3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</row>
    <row r="113" spans="1:28" s="1" customFormat="1" ht="19.8" customHeight="1" x14ac:dyDescent="0.3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</row>
    <row r="114" spans="1:28" s="1" customFormat="1" ht="19.8" customHeight="1" x14ac:dyDescent="0.3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</row>
    <row r="115" spans="1:28" s="1" customFormat="1" ht="19.8" customHeight="1" x14ac:dyDescent="0.3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</row>
    <row r="116" spans="1:28" s="1" customFormat="1" ht="19.8" customHeight="1" x14ac:dyDescent="0.3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</row>
    <row r="117" spans="1:28" s="1" customFormat="1" ht="19.8" customHeight="1" x14ac:dyDescent="0.3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</row>
    <row r="118" spans="1:28" s="1" customFormat="1" ht="19.8" customHeight="1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</row>
    <row r="119" spans="1:28" s="1" customFormat="1" ht="19.8" customHeight="1" x14ac:dyDescent="0.3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</row>
    <row r="120" spans="1:28" s="1" customFormat="1" ht="19.8" customHeight="1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</row>
    <row r="121" spans="1:28" s="1" customFormat="1" ht="19.8" customHeight="1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</row>
    <row r="122" spans="1:28" s="1" customFormat="1" ht="19.8" customHeight="1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</row>
    <row r="123" spans="1:28" s="1" customFormat="1" ht="19.8" customHeight="1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</row>
    <row r="124" spans="1:28" s="1" customFormat="1" ht="19.8" customHeight="1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</row>
    <row r="125" spans="1:28" s="1" customFormat="1" ht="19.8" customHeight="1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</row>
    <row r="126" spans="1:28" s="1" customFormat="1" ht="19.8" customHeight="1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</row>
    <row r="127" spans="1:28" s="1" customFormat="1" ht="19.8" customHeight="1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</row>
    <row r="128" spans="1:28" s="1" customFormat="1" ht="19.8" customHeight="1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</row>
    <row r="129" spans="1:28" s="1" customFormat="1" ht="19.8" customHeight="1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</row>
    <row r="130" spans="1:28" s="1" customFormat="1" ht="19.8" customHeight="1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</row>
    <row r="131" spans="1:28" s="1" customFormat="1" ht="19.8" customHeight="1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</row>
    <row r="132" spans="1:28" s="1" customFormat="1" ht="19.8" customHeight="1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</row>
    <row r="133" spans="1:28" s="1" customFormat="1" ht="19.8" customHeight="1" x14ac:dyDescent="0.3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</row>
    <row r="134" spans="1:28" s="1" customFormat="1" ht="19.8" customHeight="1" x14ac:dyDescent="0.3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</row>
    <row r="135" spans="1:28" s="1" customFormat="1" ht="19.8" customHeight="1" x14ac:dyDescent="0.3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</row>
    <row r="136" spans="1:28" s="1" customFormat="1" ht="19.8" customHeight="1" x14ac:dyDescent="0.3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</row>
    <row r="137" spans="1:28" s="1" customFormat="1" ht="19.8" customHeight="1" x14ac:dyDescent="0.3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</row>
    <row r="138" spans="1:28" s="1" customFormat="1" ht="19.8" customHeight="1" x14ac:dyDescent="0.3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</row>
    <row r="139" spans="1:28" s="1" customFormat="1" ht="19.8" customHeight="1" x14ac:dyDescent="0.3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</row>
    <row r="140" spans="1:28" s="1" customFormat="1" ht="19.8" customHeight="1" x14ac:dyDescent="0.3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</row>
    <row r="141" spans="1:28" s="1" customFormat="1" ht="19.8" customHeight="1" x14ac:dyDescent="0.3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</row>
    <row r="142" spans="1:28" s="1" customFormat="1" ht="19.8" customHeight="1" x14ac:dyDescent="0.3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</row>
    <row r="143" spans="1:28" s="1" customFormat="1" ht="19.8" customHeight="1" x14ac:dyDescent="0.3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C109"/>
  <sheetViews>
    <sheetView workbookViewId="0">
      <selection sqref="A1:C1048576"/>
    </sheetView>
  </sheetViews>
  <sheetFormatPr baseColWidth="10" defaultRowHeight="14.4" x14ac:dyDescent="0.3"/>
  <cols>
    <col min="1" max="1" width="28.77734375" style="9" bestFit="1" customWidth="1"/>
    <col min="2" max="2" width="28.77734375" bestFit="1" customWidth="1"/>
  </cols>
  <sheetData>
    <row r="1" spans="1:3" x14ac:dyDescent="0.3">
      <c r="A1" s="9" t="s">
        <v>970</v>
      </c>
      <c r="B1" t="s">
        <v>971</v>
      </c>
      <c r="C1">
        <v>1</v>
      </c>
    </row>
    <row r="2" spans="1:3" x14ac:dyDescent="0.3">
      <c r="A2" s="9" t="s">
        <v>974</v>
      </c>
      <c r="B2" t="s">
        <v>975</v>
      </c>
      <c r="C2">
        <v>1</v>
      </c>
    </row>
    <row r="3" spans="1:3" x14ac:dyDescent="0.3">
      <c r="A3" s="29" t="s">
        <v>1046</v>
      </c>
      <c r="B3" t="s">
        <v>1047</v>
      </c>
      <c r="C3">
        <v>1</v>
      </c>
    </row>
    <row r="4" spans="1:3" x14ac:dyDescent="0.3">
      <c r="A4" s="29" t="s">
        <v>1018</v>
      </c>
      <c r="B4" t="s">
        <v>1019</v>
      </c>
      <c r="C4">
        <v>1</v>
      </c>
    </row>
    <row r="5" spans="1:3" x14ac:dyDescent="0.3">
      <c r="A5" s="29" t="s">
        <v>996</v>
      </c>
      <c r="B5" t="s">
        <v>997</v>
      </c>
      <c r="C5">
        <v>1</v>
      </c>
    </row>
    <row r="6" spans="1:3" x14ac:dyDescent="0.3">
      <c r="A6" s="9" t="s">
        <v>1020</v>
      </c>
      <c r="B6" t="s">
        <v>1021</v>
      </c>
      <c r="C6">
        <v>1</v>
      </c>
    </row>
    <row r="7" spans="1:3" x14ac:dyDescent="0.3">
      <c r="A7" s="9" t="s">
        <v>1040</v>
      </c>
      <c r="B7" t="s">
        <v>1041</v>
      </c>
      <c r="C7">
        <v>1</v>
      </c>
    </row>
    <row r="8" spans="1:3" x14ac:dyDescent="0.3">
      <c r="A8" s="9" t="s">
        <v>1000</v>
      </c>
      <c r="B8" t="s">
        <v>1001</v>
      </c>
      <c r="C8">
        <v>1</v>
      </c>
    </row>
    <row r="9" spans="1:3" x14ac:dyDescent="0.3">
      <c r="A9" s="9" t="s">
        <v>998</v>
      </c>
      <c r="B9" t="s">
        <v>999</v>
      </c>
      <c r="C9">
        <v>1</v>
      </c>
    </row>
    <row r="10" spans="1:3" x14ac:dyDescent="0.3">
      <c r="A10" s="9" t="s">
        <v>1002</v>
      </c>
      <c r="B10" t="s">
        <v>1003</v>
      </c>
      <c r="C10">
        <v>1</v>
      </c>
    </row>
    <row r="11" spans="1:3" x14ac:dyDescent="0.3">
      <c r="A11" s="29" t="s">
        <v>1048</v>
      </c>
      <c r="B11" t="s">
        <v>1049</v>
      </c>
      <c r="C11">
        <v>1</v>
      </c>
    </row>
    <row r="12" spans="1:3" x14ac:dyDescent="0.3">
      <c r="A12" s="29" t="s">
        <v>1028</v>
      </c>
      <c r="B12" t="s">
        <v>1029</v>
      </c>
      <c r="C12">
        <v>1</v>
      </c>
    </row>
    <row r="13" spans="1:3" x14ac:dyDescent="0.3">
      <c r="A13" s="9" t="s">
        <v>990</v>
      </c>
      <c r="B13" t="s">
        <v>991</v>
      </c>
      <c r="C13">
        <v>1</v>
      </c>
    </row>
    <row r="14" spans="1:3" x14ac:dyDescent="0.3">
      <c r="A14" s="9" t="s">
        <v>982</v>
      </c>
      <c r="B14" t="s">
        <v>983</v>
      </c>
      <c r="C14">
        <v>1</v>
      </c>
    </row>
    <row r="15" spans="1:3" x14ac:dyDescent="0.3">
      <c r="A15" s="9" t="s">
        <v>1030</v>
      </c>
      <c r="B15" t="s">
        <v>1031</v>
      </c>
      <c r="C15">
        <v>1</v>
      </c>
    </row>
    <row r="16" spans="1:3" x14ac:dyDescent="0.3">
      <c r="A16" s="29" t="s">
        <v>1012</v>
      </c>
      <c r="B16" t="s">
        <v>1013</v>
      </c>
      <c r="C16">
        <v>1</v>
      </c>
    </row>
    <row r="17" spans="1:3" x14ac:dyDescent="0.3">
      <c r="A17" s="9" t="s">
        <v>1010</v>
      </c>
      <c r="B17" t="s">
        <v>1011</v>
      </c>
      <c r="C17">
        <v>1</v>
      </c>
    </row>
    <row r="18" spans="1:3" x14ac:dyDescent="0.3">
      <c r="A18" s="9" t="s">
        <v>1016</v>
      </c>
      <c r="B18" t="s">
        <v>1017</v>
      </c>
      <c r="C18">
        <v>1</v>
      </c>
    </row>
    <row r="19" spans="1:3" x14ac:dyDescent="0.3">
      <c r="A19" s="9" t="s">
        <v>1014</v>
      </c>
      <c r="B19" t="s">
        <v>1015</v>
      </c>
      <c r="C19">
        <v>1</v>
      </c>
    </row>
    <row r="20" spans="1:3" x14ac:dyDescent="0.3">
      <c r="A20" s="9" t="s">
        <v>1026</v>
      </c>
      <c r="B20" t="s">
        <v>1027</v>
      </c>
      <c r="C20">
        <v>1</v>
      </c>
    </row>
    <row r="21" spans="1:3" x14ac:dyDescent="0.3">
      <c r="A21" s="9" t="s">
        <v>978</v>
      </c>
      <c r="B21" t="s">
        <v>979</v>
      </c>
      <c r="C21">
        <v>1</v>
      </c>
    </row>
    <row r="22" spans="1:3" x14ac:dyDescent="0.3">
      <c r="A22" s="9" t="s">
        <v>1022</v>
      </c>
      <c r="B22" t="s">
        <v>1023</v>
      </c>
      <c r="C22">
        <v>1</v>
      </c>
    </row>
    <row r="23" spans="1:3" x14ac:dyDescent="0.3">
      <c r="A23" s="9" t="s">
        <v>952</v>
      </c>
      <c r="B23" t="s">
        <v>953</v>
      </c>
      <c r="C23">
        <v>1</v>
      </c>
    </row>
    <row r="24" spans="1:3" x14ac:dyDescent="0.3">
      <c r="A24" s="9" t="s">
        <v>1052</v>
      </c>
      <c r="B24" t="s">
        <v>1053</v>
      </c>
      <c r="C24">
        <v>1</v>
      </c>
    </row>
    <row r="25" spans="1:3" x14ac:dyDescent="0.3">
      <c r="A25" s="9" t="s">
        <v>968</v>
      </c>
      <c r="B25" t="s">
        <v>969</v>
      </c>
      <c r="C25">
        <v>1</v>
      </c>
    </row>
    <row r="26" spans="1:3" x14ac:dyDescent="0.3">
      <c r="A26" s="9" t="s">
        <v>988</v>
      </c>
      <c r="B26" t="s">
        <v>989</v>
      </c>
      <c r="C26">
        <v>1</v>
      </c>
    </row>
    <row r="27" spans="1:3" x14ac:dyDescent="0.3">
      <c r="A27" s="29" t="s">
        <v>960</v>
      </c>
      <c r="B27" t="s">
        <v>961</v>
      </c>
      <c r="C27">
        <v>1</v>
      </c>
    </row>
    <row r="28" spans="1:3" x14ac:dyDescent="0.3">
      <c r="A28" s="9" t="s">
        <v>958</v>
      </c>
      <c r="B28" t="s">
        <v>959</v>
      </c>
      <c r="C28">
        <v>1</v>
      </c>
    </row>
    <row r="29" spans="1:3" x14ac:dyDescent="0.3">
      <c r="A29" s="9" t="s">
        <v>1050</v>
      </c>
      <c r="B29" t="s">
        <v>1051</v>
      </c>
      <c r="C29">
        <v>1</v>
      </c>
    </row>
    <row r="30" spans="1:3" x14ac:dyDescent="0.3">
      <c r="A30" s="9" t="s">
        <v>1032</v>
      </c>
      <c r="B30" t="s">
        <v>1033</v>
      </c>
      <c r="C30">
        <v>1</v>
      </c>
    </row>
    <row r="31" spans="1:3" x14ac:dyDescent="0.3">
      <c r="A31" s="29" t="s">
        <v>972</v>
      </c>
      <c r="B31" t="s">
        <v>973</v>
      </c>
      <c r="C31">
        <v>1</v>
      </c>
    </row>
    <row r="32" spans="1:3" x14ac:dyDescent="0.3">
      <c r="A32" s="9" t="s">
        <v>956</v>
      </c>
      <c r="B32" t="s">
        <v>957</v>
      </c>
      <c r="C32">
        <v>1</v>
      </c>
    </row>
    <row r="33" spans="1:3" x14ac:dyDescent="0.3">
      <c r="A33" s="9" t="s">
        <v>954</v>
      </c>
      <c r="B33" t="s">
        <v>955</v>
      </c>
      <c r="C33">
        <v>1</v>
      </c>
    </row>
    <row r="34" spans="1:3" x14ac:dyDescent="0.3">
      <c r="A34" s="9" t="s">
        <v>1042</v>
      </c>
      <c r="B34" t="s">
        <v>1043</v>
      </c>
      <c r="C34">
        <v>1</v>
      </c>
    </row>
    <row r="35" spans="1:3" x14ac:dyDescent="0.3">
      <c r="A35" s="9" t="s">
        <v>962</v>
      </c>
      <c r="B35" t="s">
        <v>963</v>
      </c>
      <c r="C35">
        <v>1</v>
      </c>
    </row>
    <row r="36" spans="1:3" x14ac:dyDescent="0.3">
      <c r="A36" s="9" t="s">
        <v>992</v>
      </c>
      <c r="B36" t="s">
        <v>993</v>
      </c>
      <c r="C36">
        <v>1</v>
      </c>
    </row>
    <row r="37" spans="1:3" x14ac:dyDescent="0.3">
      <c r="A37" s="9" t="s">
        <v>1036</v>
      </c>
      <c r="B37" t="s">
        <v>1037</v>
      </c>
      <c r="C37">
        <v>1</v>
      </c>
    </row>
    <row r="38" spans="1:3" x14ac:dyDescent="0.3">
      <c r="A38" s="9" t="s">
        <v>964</v>
      </c>
      <c r="B38" t="s">
        <v>965</v>
      </c>
      <c r="C38">
        <v>1</v>
      </c>
    </row>
    <row r="39" spans="1:3" x14ac:dyDescent="0.3">
      <c r="A39" s="9" t="s">
        <v>1008</v>
      </c>
      <c r="B39" t="s">
        <v>1009</v>
      </c>
      <c r="C39">
        <v>1</v>
      </c>
    </row>
    <row r="40" spans="1:3" x14ac:dyDescent="0.3">
      <c r="A40" s="29" t="s">
        <v>1006</v>
      </c>
      <c r="B40" t="s">
        <v>1007</v>
      </c>
      <c r="C40">
        <v>1</v>
      </c>
    </row>
    <row r="41" spans="1:3" x14ac:dyDescent="0.3">
      <c r="A41" s="9" t="s">
        <v>980</v>
      </c>
      <c r="B41" t="s">
        <v>981</v>
      </c>
      <c r="C41">
        <v>1</v>
      </c>
    </row>
    <row r="42" spans="1:3" x14ac:dyDescent="0.3">
      <c r="A42" s="9" t="s">
        <v>1004</v>
      </c>
      <c r="B42" t="s">
        <v>1005</v>
      </c>
      <c r="C42">
        <v>1</v>
      </c>
    </row>
    <row r="43" spans="1:3" x14ac:dyDescent="0.3">
      <c r="A43" s="9" t="s">
        <v>1034</v>
      </c>
      <c r="B43" t="s">
        <v>1035</v>
      </c>
      <c r="C43">
        <v>1</v>
      </c>
    </row>
    <row r="44" spans="1:3" x14ac:dyDescent="0.3">
      <c r="A44" s="29" t="s">
        <v>986</v>
      </c>
      <c r="B44" t="s">
        <v>987</v>
      </c>
      <c r="C44">
        <v>1</v>
      </c>
    </row>
    <row r="45" spans="1:3" x14ac:dyDescent="0.3">
      <c r="A45" s="9" t="s">
        <v>976</v>
      </c>
      <c r="B45" t="s">
        <v>977</v>
      </c>
      <c r="C45">
        <v>1</v>
      </c>
    </row>
    <row r="46" spans="1:3" x14ac:dyDescent="0.3">
      <c r="A46" s="9" t="s">
        <v>966</v>
      </c>
      <c r="B46" t="s">
        <v>967</v>
      </c>
      <c r="C46">
        <v>1</v>
      </c>
    </row>
    <row r="47" spans="1:3" x14ac:dyDescent="0.3">
      <c r="A47" s="9" t="s">
        <v>984</v>
      </c>
      <c r="B47" t="s">
        <v>985</v>
      </c>
      <c r="C47">
        <v>1</v>
      </c>
    </row>
    <row r="48" spans="1:3" x14ac:dyDescent="0.3">
      <c r="A48" s="29" t="s">
        <v>1024</v>
      </c>
      <c r="B48" t="s">
        <v>1025</v>
      </c>
      <c r="C48">
        <v>1</v>
      </c>
    </row>
    <row r="49" spans="1:3" x14ac:dyDescent="0.3">
      <c r="A49" s="9" t="s">
        <v>1044</v>
      </c>
      <c r="B49" t="s">
        <v>1045</v>
      </c>
      <c r="C49">
        <v>1</v>
      </c>
    </row>
    <row r="50" spans="1:3" x14ac:dyDescent="0.3">
      <c r="A50" s="9" t="s">
        <v>994</v>
      </c>
      <c r="B50" t="s">
        <v>995</v>
      </c>
      <c r="C50">
        <v>1</v>
      </c>
    </row>
    <row r="51" spans="1:3" x14ac:dyDescent="0.3">
      <c r="A51" s="9" t="s">
        <v>1038</v>
      </c>
      <c r="B51" t="s">
        <v>1039</v>
      </c>
      <c r="C51">
        <v>1</v>
      </c>
    </row>
    <row r="52" spans="1:3" x14ac:dyDescent="0.3">
      <c r="A52" s="9" t="s">
        <v>439</v>
      </c>
      <c r="B52" t="s">
        <v>439</v>
      </c>
    </row>
    <row r="53" spans="1:3" x14ac:dyDescent="0.3">
      <c r="A53" s="29" t="s">
        <v>11</v>
      </c>
      <c r="B53" t="s">
        <v>11</v>
      </c>
    </row>
    <row r="54" spans="1:3" x14ac:dyDescent="0.3">
      <c r="A54" s="9" t="s">
        <v>882</v>
      </c>
      <c r="B54" t="s">
        <v>882</v>
      </c>
    </row>
    <row r="55" spans="1:3" x14ac:dyDescent="0.3">
      <c r="A55" s="9" t="s">
        <v>59</v>
      </c>
      <c r="B55" t="s">
        <v>59</v>
      </c>
    </row>
    <row r="56" spans="1:3" x14ac:dyDescent="0.3">
      <c r="A56" s="29" t="s">
        <v>12</v>
      </c>
      <c r="B56" t="s">
        <v>12</v>
      </c>
    </row>
    <row r="57" spans="1:3" x14ac:dyDescent="0.3">
      <c r="A57" s="29" t="s">
        <v>278</v>
      </c>
      <c r="B57" t="s">
        <v>278</v>
      </c>
    </row>
    <row r="58" spans="1:3" x14ac:dyDescent="0.3">
      <c r="A58" s="29" t="s">
        <v>751</v>
      </c>
      <c r="B58" t="s">
        <v>751</v>
      </c>
    </row>
    <row r="59" spans="1:3" x14ac:dyDescent="0.3">
      <c r="A59" s="29" t="s">
        <v>13</v>
      </c>
      <c r="B59" t="s">
        <v>13</v>
      </c>
    </row>
    <row r="60" spans="1:3" x14ac:dyDescent="0.3">
      <c r="A60" s="29" t="s">
        <v>8</v>
      </c>
      <c r="B60" t="s">
        <v>8</v>
      </c>
    </row>
    <row r="61" spans="1:3" x14ac:dyDescent="0.3">
      <c r="A61" s="9" t="s">
        <v>7</v>
      </c>
      <c r="B61" t="s">
        <v>7</v>
      </c>
    </row>
    <row r="62" spans="1:3" x14ac:dyDescent="0.3">
      <c r="A62" s="9" t="s">
        <v>871</v>
      </c>
      <c r="B62" t="s">
        <v>871</v>
      </c>
    </row>
    <row r="63" spans="1:3" x14ac:dyDescent="0.3">
      <c r="A63" s="29" t="s">
        <v>425</v>
      </c>
      <c r="B63" t="s">
        <v>425</v>
      </c>
    </row>
    <row r="64" spans="1:3" x14ac:dyDescent="0.3">
      <c r="A64" s="9" t="s">
        <v>949</v>
      </c>
      <c r="B64" t="s">
        <v>949</v>
      </c>
    </row>
    <row r="65" spans="1:2" x14ac:dyDescent="0.3">
      <c r="A65" s="29" t="s">
        <v>52</v>
      </c>
      <c r="B65" t="s">
        <v>52</v>
      </c>
    </row>
    <row r="66" spans="1:2" x14ac:dyDescent="0.3">
      <c r="A66" s="9" t="s">
        <v>561</v>
      </c>
      <c r="B66" t="s">
        <v>561</v>
      </c>
    </row>
    <row r="67" spans="1:2" x14ac:dyDescent="0.3">
      <c r="A67" s="9" t="s">
        <v>56</v>
      </c>
      <c r="B67" t="s">
        <v>56</v>
      </c>
    </row>
    <row r="68" spans="1:2" x14ac:dyDescent="0.3">
      <c r="A68" s="9" t="s">
        <v>55</v>
      </c>
      <c r="B68" t="s">
        <v>55</v>
      </c>
    </row>
    <row r="69" spans="1:2" x14ac:dyDescent="0.3">
      <c r="A69" s="9" t="s">
        <v>58</v>
      </c>
      <c r="B69" t="s">
        <v>58</v>
      </c>
    </row>
    <row r="70" spans="1:2" x14ac:dyDescent="0.3">
      <c r="A70" s="9" t="s">
        <v>57</v>
      </c>
      <c r="B70" t="s">
        <v>57</v>
      </c>
    </row>
    <row r="71" spans="1:2" x14ac:dyDescent="0.3">
      <c r="A71" s="29" t="s">
        <v>424</v>
      </c>
      <c r="B71" t="s">
        <v>424</v>
      </c>
    </row>
    <row r="72" spans="1:2" x14ac:dyDescent="0.3">
      <c r="A72" s="9" t="s">
        <v>3</v>
      </c>
      <c r="B72" t="s">
        <v>3</v>
      </c>
    </row>
    <row r="73" spans="1:2" x14ac:dyDescent="0.3">
      <c r="A73" s="29" t="s">
        <v>409</v>
      </c>
      <c r="B73" t="s">
        <v>409</v>
      </c>
    </row>
    <row r="74" spans="1:2" x14ac:dyDescent="0.3">
      <c r="A74" s="29" t="s">
        <v>44</v>
      </c>
      <c r="B74" t="s">
        <v>44</v>
      </c>
    </row>
    <row r="75" spans="1:2" x14ac:dyDescent="0.3">
      <c r="A75" s="9" t="s">
        <v>562</v>
      </c>
      <c r="B75" t="s">
        <v>562</v>
      </c>
    </row>
    <row r="76" spans="1:2" x14ac:dyDescent="0.3">
      <c r="A76" s="9" t="s">
        <v>4</v>
      </c>
      <c r="B76" t="s">
        <v>4</v>
      </c>
    </row>
    <row r="77" spans="1:2" x14ac:dyDescent="0.3">
      <c r="A77" s="9" t="s">
        <v>10</v>
      </c>
      <c r="B77" t="s">
        <v>10</v>
      </c>
    </row>
    <row r="78" spans="1:2" x14ac:dyDescent="0.3">
      <c r="A78" s="29" t="s">
        <v>951</v>
      </c>
      <c r="B78" t="s">
        <v>951</v>
      </c>
    </row>
    <row r="79" spans="1:2" x14ac:dyDescent="0.3">
      <c r="A79" s="9" t="s">
        <v>0</v>
      </c>
      <c r="B79" t="s">
        <v>0</v>
      </c>
    </row>
    <row r="80" spans="1:2" x14ac:dyDescent="0.3">
      <c r="A80" s="9" t="s">
        <v>2</v>
      </c>
      <c r="B80" t="s">
        <v>2</v>
      </c>
    </row>
    <row r="81" spans="1:2" x14ac:dyDescent="0.3">
      <c r="A81" s="29" t="s">
        <v>750</v>
      </c>
      <c r="B81" t="s">
        <v>750</v>
      </c>
    </row>
    <row r="82" spans="1:2" x14ac:dyDescent="0.3">
      <c r="A82" s="9" t="s">
        <v>747</v>
      </c>
      <c r="B82" t="s">
        <v>747</v>
      </c>
    </row>
    <row r="83" spans="1:2" x14ac:dyDescent="0.3">
      <c r="A83" s="29" t="s">
        <v>870</v>
      </c>
      <c r="B83" t="s">
        <v>870</v>
      </c>
    </row>
    <row r="84" spans="1:2" x14ac:dyDescent="0.3">
      <c r="A84" s="29" t="s">
        <v>753</v>
      </c>
      <c r="B84" t="s">
        <v>753</v>
      </c>
    </row>
    <row r="85" spans="1:2" x14ac:dyDescent="0.3">
      <c r="A85" s="29" t="s">
        <v>431</v>
      </c>
      <c r="B85" t="s">
        <v>431</v>
      </c>
    </row>
    <row r="86" spans="1:2" x14ac:dyDescent="0.3">
      <c r="A86" s="9" t="s">
        <v>752</v>
      </c>
      <c r="B86" t="s">
        <v>752</v>
      </c>
    </row>
    <row r="87" spans="1:2" x14ac:dyDescent="0.3">
      <c r="A87" s="9" t="s">
        <v>45</v>
      </c>
      <c r="B87" t="s">
        <v>45</v>
      </c>
    </row>
    <row r="88" spans="1:2" x14ac:dyDescent="0.3">
      <c r="A88" s="9" t="s">
        <v>49</v>
      </c>
      <c r="B88" t="s">
        <v>49</v>
      </c>
    </row>
    <row r="89" spans="1:2" x14ac:dyDescent="0.3">
      <c r="A89" s="29" t="s">
        <v>748</v>
      </c>
      <c r="B89" t="s">
        <v>748</v>
      </c>
    </row>
    <row r="90" spans="1:2" x14ac:dyDescent="0.3">
      <c r="A90" s="29" t="s">
        <v>5</v>
      </c>
      <c r="B90" t="s">
        <v>5</v>
      </c>
    </row>
    <row r="91" spans="1:2" x14ac:dyDescent="0.3">
      <c r="A91" s="9" t="s">
        <v>54</v>
      </c>
      <c r="B91" t="s">
        <v>54</v>
      </c>
    </row>
    <row r="92" spans="1:2" x14ac:dyDescent="0.3">
      <c r="A92" s="29" t="s">
        <v>53</v>
      </c>
      <c r="B92" t="s">
        <v>53</v>
      </c>
    </row>
    <row r="93" spans="1:2" x14ac:dyDescent="0.3">
      <c r="A93" s="9" t="s">
        <v>531</v>
      </c>
      <c r="B93" t="s">
        <v>531</v>
      </c>
    </row>
    <row r="94" spans="1:2" x14ac:dyDescent="0.3">
      <c r="A94" s="9" t="s">
        <v>51</v>
      </c>
      <c r="B94" t="s">
        <v>51</v>
      </c>
    </row>
    <row r="95" spans="1:2" x14ac:dyDescent="0.3">
      <c r="A95" s="29" t="s">
        <v>483</v>
      </c>
      <c r="B95" t="s">
        <v>483</v>
      </c>
    </row>
    <row r="96" spans="1:2" x14ac:dyDescent="0.3">
      <c r="A96" s="29" t="s">
        <v>46</v>
      </c>
      <c r="B96" t="s">
        <v>46</v>
      </c>
    </row>
    <row r="97" spans="1:2" x14ac:dyDescent="0.3">
      <c r="A97" s="9" t="s">
        <v>746</v>
      </c>
      <c r="B97" t="s">
        <v>746</v>
      </c>
    </row>
    <row r="98" spans="1:2" x14ac:dyDescent="0.3">
      <c r="A98" s="9" t="s">
        <v>419</v>
      </c>
      <c r="B98" t="s">
        <v>419</v>
      </c>
    </row>
    <row r="99" spans="1:2" x14ac:dyDescent="0.3">
      <c r="A99" s="29" t="s">
        <v>423</v>
      </c>
      <c r="B99" t="s">
        <v>423</v>
      </c>
    </row>
    <row r="100" spans="1:2" x14ac:dyDescent="0.3">
      <c r="A100" s="9" t="s">
        <v>301</v>
      </c>
      <c r="B100" t="s">
        <v>301</v>
      </c>
    </row>
    <row r="101" spans="1:2" x14ac:dyDescent="0.3">
      <c r="A101" s="9" t="s">
        <v>754</v>
      </c>
      <c r="B101" t="s">
        <v>754</v>
      </c>
    </row>
    <row r="102" spans="1:2" x14ac:dyDescent="0.3">
      <c r="A102" s="9" t="s">
        <v>50</v>
      </c>
      <c r="B102" t="s">
        <v>50</v>
      </c>
    </row>
    <row r="103" spans="1:2" x14ac:dyDescent="0.3">
      <c r="A103" s="9" t="s">
        <v>749</v>
      </c>
      <c r="B103" t="s">
        <v>749</v>
      </c>
    </row>
    <row r="104" spans="1:2" x14ac:dyDescent="0.3">
      <c r="A104" s="29"/>
    </row>
    <row r="105" spans="1:2" x14ac:dyDescent="0.3">
      <c r="A105" s="29"/>
    </row>
    <row r="109" spans="1:2" x14ac:dyDescent="0.3">
      <c r="A109" s="29"/>
    </row>
  </sheetData>
  <sortState xmlns:xlrd2="http://schemas.microsoft.com/office/spreadsheetml/2017/richdata2" ref="A1:C103">
    <sortCondition ref="A1"/>
  </sortState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4">
    <tabColor rgb="FFC00000"/>
  </sheetPr>
  <dimension ref="A1:M21"/>
  <sheetViews>
    <sheetView workbookViewId="0">
      <selection activeCell="M18" sqref="M18"/>
    </sheetView>
  </sheetViews>
  <sheetFormatPr baseColWidth="10" defaultRowHeight="10.199999999999999" x14ac:dyDescent="0.2"/>
  <cols>
    <col min="1" max="1" width="7.33203125" style="75" bestFit="1" customWidth="1"/>
    <col min="2" max="2" width="7" style="75" bestFit="1" customWidth="1"/>
    <col min="3" max="3" width="11.77734375" style="75" bestFit="1" customWidth="1"/>
    <col min="4" max="4" width="26.44140625" style="75" bestFit="1" customWidth="1"/>
    <col min="5" max="7" width="7.109375" style="75" customWidth="1"/>
    <col min="8" max="8" width="2.109375" style="75" customWidth="1"/>
    <col min="9" max="9" width="19.5546875" style="75" customWidth="1"/>
    <col min="10" max="10" width="29.33203125" style="75" bestFit="1" customWidth="1"/>
    <col min="11" max="11" width="23.6640625" style="75" bestFit="1" customWidth="1"/>
    <col min="12" max="12" width="19.44140625" style="75" bestFit="1" customWidth="1"/>
    <col min="13" max="13" width="26.109375" style="75" bestFit="1" customWidth="1"/>
    <col min="14" max="16384" width="11.5546875" style="75"/>
  </cols>
  <sheetData>
    <row r="1" spans="1:13" x14ac:dyDescent="0.2">
      <c r="A1" s="75" t="s">
        <v>297</v>
      </c>
      <c r="B1" s="75" t="s">
        <v>1067</v>
      </c>
    </row>
    <row r="2" spans="1:13" x14ac:dyDescent="0.2">
      <c r="C2" s="75" t="s">
        <v>18</v>
      </c>
      <c r="D2" s="75" t="s">
        <v>686</v>
      </c>
      <c r="E2" s="75" t="s">
        <v>15</v>
      </c>
      <c r="F2" s="75" t="s">
        <v>298</v>
      </c>
      <c r="G2" s="75" t="s">
        <v>299</v>
      </c>
      <c r="I2" s="75" t="s">
        <v>302</v>
      </c>
      <c r="J2" s="75" t="s">
        <v>300</v>
      </c>
      <c r="K2" s="75" t="s">
        <v>626</v>
      </c>
      <c r="L2" s="75" t="s">
        <v>627</v>
      </c>
      <c r="M2" s="75" t="s">
        <v>661</v>
      </c>
    </row>
    <row r="3" spans="1:13" x14ac:dyDescent="0.2">
      <c r="A3" s="542" t="s">
        <v>44</v>
      </c>
      <c r="B3" s="542">
        <v>40000751</v>
      </c>
      <c r="J3" s="75" t="s">
        <v>823</v>
      </c>
    </row>
    <row r="4" spans="1:13" x14ac:dyDescent="0.2">
      <c r="C4" s="544">
        <v>40007797</v>
      </c>
      <c r="D4" s="544" t="s">
        <v>278</v>
      </c>
      <c r="M4" s="75" t="s">
        <v>521</v>
      </c>
    </row>
    <row r="5" spans="1:13" x14ac:dyDescent="0.2">
      <c r="B5" s="542">
        <v>40000751</v>
      </c>
      <c r="D5" s="75" t="s">
        <v>278</v>
      </c>
      <c r="E5" s="544">
        <v>40007797</v>
      </c>
      <c r="F5" s="543">
        <v>40007779</v>
      </c>
      <c r="G5" s="542">
        <v>40000751</v>
      </c>
    </row>
    <row r="6" spans="1:13" x14ac:dyDescent="0.2">
      <c r="C6" s="545">
        <v>40007798</v>
      </c>
      <c r="D6" s="545" t="s">
        <v>31</v>
      </c>
      <c r="M6" s="75" t="s">
        <v>900</v>
      </c>
    </row>
    <row r="7" spans="1:13" x14ac:dyDescent="0.2">
      <c r="B7" s="542">
        <v>40000751</v>
      </c>
      <c r="D7" s="75" t="s">
        <v>5</v>
      </c>
      <c r="E7" s="545">
        <v>40007798</v>
      </c>
      <c r="I7" s="75" t="s">
        <v>825</v>
      </c>
      <c r="J7" s="75" t="s">
        <v>1068</v>
      </c>
    </row>
    <row r="8" spans="1:13" x14ac:dyDescent="0.2">
      <c r="E8" s="545"/>
      <c r="I8" s="75" t="s">
        <v>41</v>
      </c>
      <c r="K8" s="75" t="s">
        <v>1069</v>
      </c>
      <c r="L8" s="75" t="s">
        <v>1055</v>
      </c>
    </row>
    <row r="9" spans="1:13" x14ac:dyDescent="0.2">
      <c r="C9" s="571">
        <v>40007799</v>
      </c>
      <c r="D9" s="571" t="s">
        <v>269</v>
      </c>
      <c r="M9" s="75" t="s">
        <v>886</v>
      </c>
    </row>
    <row r="10" spans="1:13" x14ac:dyDescent="0.2">
      <c r="B10" s="542">
        <v>40000751</v>
      </c>
      <c r="D10" s="75" t="s">
        <v>11</v>
      </c>
      <c r="E10" s="571">
        <v>40007799</v>
      </c>
      <c r="I10" s="75" t="s">
        <v>269</v>
      </c>
      <c r="J10" s="75" t="s">
        <v>1056</v>
      </c>
      <c r="K10" s="75" t="s">
        <v>1057</v>
      </c>
      <c r="L10" s="75" t="s">
        <v>1058</v>
      </c>
    </row>
    <row r="11" spans="1:13" x14ac:dyDescent="0.2">
      <c r="C11" s="572">
        <v>40007800</v>
      </c>
      <c r="D11" s="572" t="s">
        <v>10</v>
      </c>
      <c r="M11" s="75" t="s">
        <v>456</v>
      </c>
    </row>
    <row r="12" spans="1:13" x14ac:dyDescent="0.2">
      <c r="B12" s="542">
        <v>40000751</v>
      </c>
      <c r="D12" s="75" t="s">
        <v>10</v>
      </c>
      <c r="E12" s="572">
        <v>40007800</v>
      </c>
      <c r="F12" s="545">
        <v>40007798</v>
      </c>
      <c r="J12" s="75" t="s">
        <v>1070</v>
      </c>
      <c r="K12" s="75" t="s">
        <v>1071</v>
      </c>
    </row>
    <row r="13" spans="1:13" x14ac:dyDescent="0.2">
      <c r="C13" s="548">
        <v>40007801</v>
      </c>
      <c r="D13" s="548" t="s">
        <v>1072</v>
      </c>
      <c r="M13" s="75" t="s">
        <v>1065</v>
      </c>
    </row>
    <row r="14" spans="1:13" x14ac:dyDescent="0.2">
      <c r="B14" s="542">
        <v>40000751</v>
      </c>
      <c r="D14" s="75" t="s">
        <v>1072</v>
      </c>
      <c r="E14" s="548">
        <v>40007801</v>
      </c>
      <c r="F14" s="571">
        <v>40007799</v>
      </c>
      <c r="G14" s="572">
        <v>40007800</v>
      </c>
    </row>
    <row r="15" spans="1:13" x14ac:dyDescent="0.2">
      <c r="C15" s="545">
        <v>40007802</v>
      </c>
      <c r="D15" s="545" t="s">
        <v>48</v>
      </c>
      <c r="M15" s="75" t="s">
        <v>897</v>
      </c>
    </row>
    <row r="16" spans="1:13" x14ac:dyDescent="0.2">
      <c r="B16" s="542">
        <v>40000751</v>
      </c>
      <c r="D16" s="75" t="s">
        <v>5</v>
      </c>
      <c r="E16" s="545">
        <v>40007802</v>
      </c>
      <c r="I16" s="75" t="s">
        <v>845</v>
      </c>
      <c r="J16" s="75" t="s">
        <v>1059</v>
      </c>
    </row>
    <row r="17" spans="2:13" x14ac:dyDescent="0.2">
      <c r="E17" s="545"/>
      <c r="K17" s="75" t="s">
        <v>1060</v>
      </c>
      <c r="L17" s="75" t="s">
        <v>1061</v>
      </c>
    </row>
    <row r="18" spans="2:13" x14ac:dyDescent="0.2">
      <c r="C18" s="546">
        <v>40007803</v>
      </c>
      <c r="D18" s="546" t="s">
        <v>29</v>
      </c>
      <c r="M18" s="75" t="s">
        <v>890</v>
      </c>
    </row>
    <row r="19" spans="2:13" x14ac:dyDescent="0.2">
      <c r="B19" s="542">
        <v>40000751</v>
      </c>
      <c r="D19" s="75" t="s">
        <v>4</v>
      </c>
      <c r="E19" s="546">
        <v>40007803</v>
      </c>
      <c r="F19" s="545">
        <v>40007802</v>
      </c>
      <c r="G19" s="571">
        <v>40007799</v>
      </c>
      <c r="I19" s="75" t="s">
        <v>29</v>
      </c>
      <c r="J19" s="75" t="s">
        <v>824</v>
      </c>
      <c r="L19" s="75" t="s">
        <v>1062</v>
      </c>
    </row>
    <row r="20" spans="2:13" x14ac:dyDescent="0.2">
      <c r="C20" s="548">
        <v>40007804</v>
      </c>
      <c r="D20" s="548" t="s">
        <v>13</v>
      </c>
      <c r="M20" s="75" t="s">
        <v>1063</v>
      </c>
    </row>
    <row r="21" spans="2:13" x14ac:dyDescent="0.2">
      <c r="B21" s="542">
        <v>40000751</v>
      </c>
      <c r="D21" s="75" t="s">
        <v>13</v>
      </c>
      <c r="E21" s="548">
        <v>40007804</v>
      </c>
      <c r="F21" s="571">
        <v>40007799</v>
      </c>
      <c r="G21" s="547">
        <v>40007783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0"/>
  <dimension ref="A1:D27"/>
  <sheetViews>
    <sheetView workbookViewId="0">
      <selection activeCell="F11" sqref="F11"/>
    </sheetView>
  </sheetViews>
  <sheetFormatPr baseColWidth="10" defaultRowHeight="10.199999999999999" x14ac:dyDescent="0.2"/>
  <cols>
    <col min="1" max="1" width="21.77734375" style="77" customWidth="1"/>
    <col min="2" max="16384" width="11.5546875" style="77"/>
  </cols>
  <sheetData>
    <row r="1" spans="1:4" x14ac:dyDescent="0.2">
      <c r="A1" s="76" t="s">
        <v>305</v>
      </c>
      <c r="B1" s="76" t="s">
        <v>304</v>
      </c>
      <c r="C1" s="76" t="s">
        <v>179</v>
      </c>
      <c r="D1" s="76" t="s">
        <v>174</v>
      </c>
    </row>
    <row r="2" spans="1:4" x14ac:dyDescent="0.2">
      <c r="A2" s="78" t="s">
        <v>44</v>
      </c>
      <c r="B2" s="77">
        <v>255</v>
      </c>
      <c r="C2" s="77">
        <v>250</v>
      </c>
      <c r="D2" s="77">
        <v>0</v>
      </c>
    </row>
    <row r="3" spans="1:4" x14ac:dyDescent="0.2">
      <c r="A3" s="395" t="s">
        <v>2</v>
      </c>
      <c r="B3" s="77">
        <v>255</v>
      </c>
      <c r="C3" s="77">
        <v>87</v>
      </c>
      <c r="D3" s="77">
        <v>255</v>
      </c>
    </row>
    <row r="4" spans="1:4" x14ac:dyDescent="0.2">
      <c r="A4" s="423" t="s">
        <v>431</v>
      </c>
      <c r="B4" s="77">
        <v>115</v>
      </c>
      <c r="C4" s="77">
        <v>190</v>
      </c>
      <c r="D4" s="77">
        <v>211</v>
      </c>
    </row>
    <row r="5" spans="1:4" x14ac:dyDescent="0.2">
      <c r="A5" s="538" t="s">
        <v>3</v>
      </c>
      <c r="B5" s="77">
        <v>251</v>
      </c>
      <c r="C5" s="77">
        <v>101</v>
      </c>
      <c r="D5" s="77">
        <v>9</v>
      </c>
    </row>
    <row r="6" spans="1:4" x14ac:dyDescent="0.2">
      <c r="A6" s="538" t="s">
        <v>30</v>
      </c>
      <c r="B6" s="77">
        <v>251</v>
      </c>
      <c r="C6" s="77">
        <v>101</v>
      </c>
      <c r="D6" s="77">
        <v>9</v>
      </c>
    </row>
    <row r="7" spans="1:4" x14ac:dyDescent="0.2">
      <c r="A7" s="81" t="s">
        <v>0</v>
      </c>
      <c r="B7" s="77">
        <v>255</v>
      </c>
      <c r="C7" s="77">
        <v>192</v>
      </c>
      <c r="D7" s="77">
        <v>0</v>
      </c>
    </row>
    <row r="8" spans="1:4" x14ac:dyDescent="0.2">
      <c r="A8" s="539" t="s">
        <v>1</v>
      </c>
      <c r="B8" s="77">
        <v>252</v>
      </c>
      <c r="C8" s="77">
        <v>149</v>
      </c>
      <c r="D8" s="77">
        <v>86</v>
      </c>
    </row>
    <row r="9" spans="1:4" x14ac:dyDescent="0.2">
      <c r="A9" s="537" t="s">
        <v>808</v>
      </c>
      <c r="B9" s="77">
        <v>255</v>
      </c>
      <c r="C9" s="77">
        <v>220</v>
      </c>
      <c r="D9" s="77">
        <v>109</v>
      </c>
    </row>
    <row r="10" spans="1:4" x14ac:dyDescent="0.2">
      <c r="A10" s="87" t="s">
        <v>5</v>
      </c>
      <c r="B10" s="77">
        <v>181</v>
      </c>
      <c r="C10" s="77">
        <v>237</v>
      </c>
      <c r="D10" s="77">
        <v>143</v>
      </c>
    </row>
    <row r="11" spans="1:4" x14ac:dyDescent="0.2">
      <c r="A11" s="87" t="s">
        <v>31</v>
      </c>
      <c r="B11" s="77">
        <v>181</v>
      </c>
      <c r="C11" s="77">
        <v>237</v>
      </c>
      <c r="D11" s="77">
        <v>143</v>
      </c>
    </row>
    <row r="12" spans="1:4" x14ac:dyDescent="0.2">
      <c r="A12" s="87" t="s">
        <v>48</v>
      </c>
      <c r="B12" s="77">
        <v>181</v>
      </c>
      <c r="C12" s="77">
        <v>237</v>
      </c>
      <c r="D12" s="77">
        <v>143</v>
      </c>
    </row>
    <row r="13" spans="1:4" x14ac:dyDescent="0.2">
      <c r="A13" s="87" t="s">
        <v>47</v>
      </c>
      <c r="B13" s="77">
        <v>181</v>
      </c>
      <c r="C13" s="77">
        <v>237</v>
      </c>
      <c r="D13" s="77">
        <v>143</v>
      </c>
    </row>
    <row r="14" spans="1:4" x14ac:dyDescent="0.2">
      <c r="A14" s="87" t="s">
        <v>909</v>
      </c>
      <c r="B14" s="77">
        <v>181</v>
      </c>
      <c r="C14" s="77">
        <v>237</v>
      </c>
      <c r="D14" s="77">
        <v>143</v>
      </c>
    </row>
    <row r="15" spans="1:4" x14ac:dyDescent="0.2">
      <c r="A15" s="94" t="s">
        <v>4</v>
      </c>
      <c r="B15" s="77">
        <v>110</v>
      </c>
      <c r="C15" s="77">
        <v>218</v>
      </c>
      <c r="D15" s="77">
        <v>36</v>
      </c>
    </row>
    <row r="16" spans="1:4" x14ac:dyDescent="0.2">
      <c r="A16" s="94" t="s">
        <v>29</v>
      </c>
      <c r="B16" s="77">
        <v>110</v>
      </c>
      <c r="C16" s="77">
        <v>218</v>
      </c>
      <c r="D16" s="77">
        <v>36</v>
      </c>
    </row>
    <row r="17" spans="1:4" x14ac:dyDescent="0.2">
      <c r="A17" s="94" t="s">
        <v>28</v>
      </c>
      <c r="B17" s="77">
        <v>110</v>
      </c>
      <c r="C17" s="77">
        <v>218</v>
      </c>
      <c r="D17" s="77">
        <v>36</v>
      </c>
    </row>
    <row r="18" spans="1:4" x14ac:dyDescent="0.2">
      <c r="A18" s="99" t="s">
        <v>10</v>
      </c>
      <c r="B18" s="77">
        <v>75</v>
      </c>
      <c r="C18" s="77">
        <v>165</v>
      </c>
      <c r="D18" s="77">
        <v>255</v>
      </c>
    </row>
    <row r="19" spans="1:4" x14ac:dyDescent="0.2">
      <c r="A19" s="100" t="s">
        <v>11</v>
      </c>
      <c r="B19" s="77">
        <v>155</v>
      </c>
      <c r="C19" s="77">
        <v>205</v>
      </c>
      <c r="D19" s="77">
        <v>255</v>
      </c>
    </row>
    <row r="20" spans="1:4" x14ac:dyDescent="0.2">
      <c r="A20" s="100" t="s">
        <v>269</v>
      </c>
      <c r="B20" s="77">
        <v>155</v>
      </c>
      <c r="C20" s="77">
        <v>205</v>
      </c>
      <c r="D20" s="77">
        <v>255</v>
      </c>
    </row>
    <row r="21" spans="1:4" x14ac:dyDescent="0.2">
      <c r="A21" s="100" t="s">
        <v>37</v>
      </c>
      <c r="B21" s="77">
        <v>155</v>
      </c>
      <c r="C21" s="77">
        <v>205</v>
      </c>
      <c r="D21" s="77">
        <v>255</v>
      </c>
    </row>
    <row r="22" spans="1:4" x14ac:dyDescent="0.2">
      <c r="A22" s="463" t="s">
        <v>303</v>
      </c>
      <c r="B22" s="77">
        <v>191</v>
      </c>
      <c r="C22" s="77">
        <v>191</v>
      </c>
      <c r="D22" s="77">
        <v>191</v>
      </c>
    </row>
    <row r="23" spans="1:4" x14ac:dyDescent="0.2">
      <c r="A23" s="394" t="s">
        <v>278</v>
      </c>
      <c r="B23" s="77">
        <v>255</v>
      </c>
      <c r="C23" s="77">
        <v>255</v>
      </c>
      <c r="D23" s="77">
        <v>143</v>
      </c>
    </row>
    <row r="24" spans="1:4" x14ac:dyDescent="0.2">
      <c r="A24" s="440" t="s">
        <v>439</v>
      </c>
      <c r="B24" s="77">
        <v>255</v>
      </c>
      <c r="C24" s="77">
        <v>163</v>
      </c>
      <c r="D24" s="77">
        <v>255</v>
      </c>
    </row>
    <row r="25" spans="1:4" x14ac:dyDescent="0.2">
      <c r="A25" s="101" t="s">
        <v>50</v>
      </c>
      <c r="B25" s="77">
        <v>217</v>
      </c>
      <c r="C25" s="77">
        <v>217</v>
      </c>
      <c r="D25" s="77">
        <v>217</v>
      </c>
    </row>
    <row r="26" spans="1:4" x14ac:dyDescent="0.2">
      <c r="A26" s="464" t="s">
        <v>49</v>
      </c>
      <c r="B26" s="77">
        <v>196</v>
      </c>
      <c r="C26" s="77">
        <v>215</v>
      </c>
      <c r="D26" s="77">
        <v>155</v>
      </c>
    </row>
    <row r="27" spans="1:4" x14ac:dyDescent="0.2">
      <c r="A27" s="431" t="s">
        <v>18</v>
      </c>
      <c r="B27" s="77">
        <v>0</v>
      </c>
      <c r="C27" s="77">
        <v>112</v>
      </c>
      <c r="D27" s="77">
        <v>192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1"/>
  <dimension ref="A1:K28"/>
  <sheetViews>
    <sheetView workbookViewId="0">
      <selection activeCell="A9" sqref="A9:D9"/>
    </sheetView>
  </sheetViews>
  <sheetFormatPr baseColWidth="10" defaultRowHeight="10.199999999999999" x14ac:dyDescent="0.2"/>
  <cols>
    <col min="1" max="1" width="16.44140625" style="77" bestFit="1" customWidth="1"/>
    <col min="2" max="6" width="11.5546875" style="77"/>
    <col min="7" max="11" width="16.44140625" style="77" bestFit="1" customWidth="1"/>
    <col min="12" max="16384" width="11.5546875" style="77"/>
  </cols>
  <sheetData>
    <row r="1" spans="1:11" x14ac:dyDescent="0.2">
      <c r="A1" s="76" t="s">
        <v>305</v>
      </c>
      <c r="B1" s="76" t="s">
        <v>304</v>
      </c>
      <c r="C1" s="76" t="s">
        <v>179</v>
      </c>
      <c r="D1" s="76" t="s">
        <v>174</v>
      </c>
      <c r="G1" s="76" t="s">
        <v>306</v>
      </c>
      <c r="H1" s="76" t="s">
        <v>306</v>
      </c>
      <c r="I1" s="76" t="s">
        <v>306</v>
      </c>
      <c r="J1" s="76" t="s">
        <v>306</v>
      </c>
      <c r="K1" s="76" t="s">
        <v>306</v>
      </c>
    </row>
    <row r="2" spans="1:11" x14ac:dyDescent="0.2">
      <c r="A2" s="78" t="s">
        <v>44</v>
      </c>
      <c r="B2" s="77">
        <v>255</v>
      </c>
      <c r="C2" s="77">
        <v>250</v>
      </c>
      <c r="D2" s="77">
        <v>0</v>
      </c>
      <c r="G2" s="79" t="s">
        <v>44</v>
      </c>
      <c r="H2" s="79" t="s">
        <v>44</v>
      </c>
      <c r="I2" s="78" t="s">
        <v>44</v>
      </c>
      <c r="J2" s="78" t="s">
        <v>44</v>
      </c>
      <c r="K2" s="78" t="s">
        <v>44</v>
      </c>
    </row>
    <row r="3" spans="1:11" x14ac:dyDescent="0.2">
      <c r="A3" s="80" t="s">
        <v>2</v>
      </c>
      <c r="B3" s="77">
        <v>255</v>
      </c>
      <c r="C3" s="77">
        <v>21</v>
      </c>
      <c r="D3" s="77">
        <v>255</v>
      </c>
      <c r="G3" s="81" t="s">
        <v>2</v>
      </c>
      <c r="H3" s="82" t="s">
        <v>2</v>
      </c>
      <c r="I3" s="83" t="s">
        <v>2</v>
      </c>
      <c r="J3" s="80" t="s">
        <v>2</v>
      </c>
      <c r="K3" s="80" t="s">
        <v>2</v>
      </c>
    </row>
    <row r="4" spans="1:11" x14ac:dyDescent="0.2">
      <c r="A4" s="106" t="s">
        <v>6</v>
      </c>
      <c r="B4" s="77">
        <v>135</v>
      </c>
      <c r="C4" s="77">
        <v>199</v>
      </c>
      <c r="D4" s="77">
        <v>217</v>
      </c>
      <c r="G4" s="85" t="s">
        <v>6</v>
      </c>
      <c r="H4" s="86" t="s">
        <v>3</v>
      </c>
      <c r="I4" s="81" t="s">
        <v>3</v>
      </c>
      <c r="J4" s="84" t="s">
        <v>6</v>
      </c>
      <c r="K4" s="84" t="s">
        <v>6</v>
      </c>
    </row>
    <row r="5" spans="1:11" x14ac:dyDescent="0.2">
      <c r="A5" s="84" t="s">
        <v>3</v>
      </c>
      <c r="B5" s="77">
        <v>252</v>
      </c>
      <c r="C5" s="77">
        <v>134</v>
      </c>
      <c r="D5" s="77">
        <v>62</v>
      </c>
      <c r="G5" s="87" t="s">
        <v>5</v>
      </c>
      <c r="H5" s="88" t="s">
        <v>0</v>
      </c>
      <c r="I5" s="85" t="s">
        <v>0</v>
      </c>
      <c r="J5" s="81" t="s">
        <v>3</v>
      </c>
      <c r="K5" s="81" t="s">
        <v>3</v>
      </c>
    </row>
    <row r="6" spans="1:11" x14ac:dyDescent="0.2">
      <c r="A6" s="81" t="s">
        <v>0</v>
      </c>
      <c r="B6" s="77">
        <v>255</v>
      </c>
      <c r="C6" s="77">
        <v>192</v>
      </c>
      <c r="D6" s="77">
        <v>0</v>
      </c>
      <c r="G6" s="90" t="s">
        <v>4</v>
      </c>
      <c r="H6" s="91" t="s">
        <v>5</v>
      </c>
      <c r="I6" s="91" t="s">
        <v>5</v>
      </c>
      <c r="J6" s="85" t="s">
        <v>0</v>
      </c>
      <c r="K6" s="89" t="s">
        <v>0</v>
      </c>
    </row>
    <row r="7" spans="1:11" x14ac:dyDescent="0.2">
      <c r="A7" s="87" t="s">
        <v>5</v>
      </c>
      <c r="B7" s="77">
        <v>181</v>
      </c>
      <c r="C7" s="77">
        <v>237</v>
      </c>
      <c r="D7" s="77">
        <v>143</v>
      </c>
      <c r="G7" s="92" t="s">
        <v>3</v>
      </c>
      <c r="H7" s="93" t="s">
        <v>4</v>
      </c>
      <c r="I7" s="93" t="s">
        <v>4</v>
      </c>
      <c r="J7" s="91" t="s">
        <v>5</v>
      </c>
      <c r="K7" s="87" t="s">
        <v>5</v>
      </c>
    </row>
    <row r="8" spans="1:11" x14ac:dyDescent="0.2">
      <c r="A8" s="94" t="s">
        <v>4</v>
      </c>
      <c r="B8" s="77">
        <v>110</v>
      </c>
      <c r="C8" s="77">
        <v>218</v>
      </c>
      <c r="D8" s="77">
        <v>36</v>
      </c>
      <c r="G8" s="95" t="s">
        <v>0</v>
      </c>
      <c r="H8" s="82" t="s">
        <v>10</v>
      </c>
      <c r="I8" s="96" t="s">
        <v>1</v>
      </c>
      <c r="J8" s="93" t="s">
        <v>4</v>
      </c>
      <c r="K8" s="94" t="s">
        <v>4</v>
      </c>
    </row>
    <row r="9" spans="1:11" x14ac:dyDescent="0.2">
      <c r="A9" s="89" t="s">
        <v>1</v>
      </c>
      <c r="B9" s="77">
        <v>255</v>
      </c>
      <c r="C9" s="77">
        <v>163</v>
      </c>
      <c r="D9" s="77">
        <v>255</v>
      </c>
      <c r="G9" s="97" t="s">
        <v>1</v>
      </c>
      <c r="H9" s="98" t="s">
        <v>11</v>
      </c>
      <c r="I9" s="89" t="s">
        <v>6</v>
      </c>
      <c r="J9" s="89" t="s">
        <v>1</v>
      </c>
      <c r="K9" s="85" t="s">
        <v>1</v>
      </c>
    </row>
    <row r="10" spans="1:11" x14ac:dyDescent="0.2">
      <c r="A10" s="99" t="s">
        <v>10</v>
      </c>
      <c r="B10" s="77">
        <v>75</v>
      </c>
      <c r="C10" s="77">
        <v>165</v>
      </c>
      <c r="D10" s="77">
        <v>255</v>
      </c>
      <c r="G10" s="89" t="s">
        <v>10</v>
      </c>
      <c r="H10" s="89" t="s">
        <v>1</v>
      </c>
      <c r="I10" s="99" t="s">
        <v>10</v>
      </c>
      <c r="J10" s="99" t="s">
        <v>10</v>
      </c>
      <c r="K10" s="99" t="s">
        <v>10</v>
      </c>
    </row>
    <row r="11" spans="1:11" x14ac:dyDescent="0.2">
      <c r="A11" s="100" t="s">
        <v>11</v>
      </c>
      <c r="B11" s="77">
        <v>155</v>
      </c>
      <c r="C11" s="77">
        <v>205</v>
      </c>
      <c r="D11" s="77">
        <v>255</v>
      </c>
      <c r="G11" s="83" t="s">
        <v>11</v>
      </c>
      <c r="H11" s="83" t="s">
        <v>6</v>
      </c>
      <c r="I11" s="100" t="s">
        <v>11</v>
      </c>
      <c r="J11" s="100" t="s">
        <v>11</v>
      </c>
      <c r="K11" s="100" t="s">
        <v>11</v>
      </c>
    </row>
    <row r="12" spans="1:11" x14ac:dyDescent="0.2">
      <c r="A12" s="101" t="s">
        <v>303</v>
      </c>
      <c r="B12" s="77">
        <v>217</v>
      </c>
      <c r="C12" s="77">
        <v>217</v>
      </c>
      <c r="D12" s="77">
        <v>217</v>
      </c>
      <c r="G12" s="101" t="s">
        <v>303</v>
      </c>
      <c r="H12" s="101" t="s">
        <v>303</v>
      </c>
      <c r="I12" s="101" t="s">
        <v>303</v>
      </c>
      <c r="J12" s="101" t="s">
        <v>303</v>
      </c>
      <c r="K12" s="101" t="s">
        <v>303</v>
      </c>
    </row>
    <row r="13" spans="1:11" x14ac:dyDescent="0.2">
      <c r="A13" s="102" t="s">
        <v>278</v>
      </c>
      <c r="B13" s="77">
        <v>255</v>
      </c>
      <c r="C13" s="77">
        <v>255</v>
      </c>
      <c r="D13" s="77">
        <v>179</v>
      </c>
      <c r="G13" s="102" t="s">
        <v>278</v>
      </c>
      <c r="H13" s="102" t="s">
        <v>278</v>
      </c>
      <c r="I13" s="102" t="s">
        <v>278</v>
      </c>
      <c r="J13" s="103" t="s">
        <v>278</v>
      </c>
      <c r="K13" s="102" t="s">
        <v>278</v>
      </c>
    </row>
    <row r="23" spans="2:9" x14ac:dyDescent="0.2">
      <c r="D23" s="102"/>
    </row>
    <row r="24" spans="2:9" x14ac:dyDescent="0.2">
      <c r="B24" s="104"/>
      <c r="C24" s="87"/>
      <c r="D24" s="103"/>
      <c r="E24" s="105"/>
    </row>
    <row r="25" spans="2:9" ht="10.199999999999999" customHeight="1" x14ac:dyDescent="0.2">
      <c r="B25" s="106" t="s">
        <v>307</v>
      </c>
      <c r="C25" s="91" t="s">
        <v>307</v>
      </c>
      <c r="D25" s="85" t="s">
        <v>307</v>
      </c>
      <c r="E25" s="89"/>
      <c r="F25" s="98"/>
      <c r="G25" s="107"/>
    </row>
    <row r="26" spans="2:9" ht="10.199999999999999" customHeight="1" x14ac:dyDescent="0.2">
      <c r="B26" s="96" t="s">
        <v>307</v>
      </c>
      <c r="C26" s="94"/>
      <c r="D26" s="81" t="s">
        <v>307</v>
      </c>
      <c r="E26" s="83"/>
      <c r="F26" s="82"/>
      <c r="G26" s="108"/>
      <c r="H26" s="109"/>
      <c r="I26" s="83"/>
    </row>
    <row r="27" spans="2:9" x14ac:dyDescent="0.2">
      <c r="B27" s="110" t="s">
        <v>307</v>
      </c>
      <c r="C27" s="93" t="s">
        <v>307</v>
      </c>
      <c r="D27" s="84" t="s">
        <v>307</v>
      </c>
      <c r="E27" s="111"/>
      <c r="F27" s="92"/>
      <c r="H27" s="80"/>
      <c r="I27" s="80"/>
    </row>
    <row r="28" spans="2:9" x14ac:dyDescent="0.2">
      <c r="D28" s="112" t="s">
        <v>307</v>
      </c>
      <c r="H28" s="108"/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2"/>
  <dimension ref="A1:J102"/>
  <sheetViews>
    <sheetView topLeftCell="A86" workbookViewId="0">
      <selection activeCell="B103" sqref="B103"/>
    </sheetView>
  </sheetViews>
  <sheetFormatPr baseColWidth="10" defaultRowHeight="12" x14ac:dyDescent="0.25"/>
  <cols>
    <col min="1" max="1" width="11.5546875" style="233"/>
    <col min="2" max="2" width="104.109375" style="233" bestFit="1" customWidth="1"/>
    <col min="3" max="16384" width="11.5546875" style="233"/>
  </cols>
  <sheetData>
    <row r="1" spans="1:10" x14ac:dyDescent="0.25">
      <c r="A1" s="233" t="s">
        <v>308</v>
      </c>
      <c r="B1" s="233" t="s">
        <v>309</v>
      </c>
    </row>
    <row r="2" spans="1:10" x14ac:dyDescent="0.25">
      <c r="A2" s="234">
        <v>43020</v>
      </c>
      <c r="B2" s="233" t="s">
        <v>313</v>
      </c>
    </row>
    <row r="3" spans="1:10" x14ac:dyDescent="0.25">
      <c r="A3" s="234">
        <v>43020</v>
      </c>
      <c r="B3" s="234" t="s">
        <v>310</v>
      </c>
    </row>
    <row r="4" spans="1:10" ht="13.8" x14ac:dyDescent="0.3">
      <c r="A4" s="234">
        <v>43020</v>
      </c>
      <c r="B4" s="234" t="s">
        <v>311</v>
      </c>
      <c r="D4" s="280">
        <v>43500</v>
      </c>
      <c r="E4" s="279"/>
      <c r="F4" s="279"/>
      <c r="G4" s="279"/>
      <c r="H4" s="279"/>
      <c r="I4" s="279"/>
      <c r="J4" s="279"/>
    </row>
    <row r="5" spans="1:10" x14ac:dyDescent="0.25">
      <c r="A5" s="234">
        <v>43020</v>
      </c>
      <c r="B5" s="233" t="s">
        <v>314</v>
      </c>
      <c r="D5" s="279"/>
      <c r="E5" s="279"/>
      <c r="F5" s="279"/>
      <c r="G5" s="279"/>
      <c r="H5" s="279"/>
      <c r="I5" s="279"/>
      <c r="J5" s="279"/>
    </row>
    <row r="6" spans="1:10" x14ac:dyDescent="0.25">
      <c r="A6" s="234">
        <v>43020</v>
      </c>
      <c r="B6" s="233" t="s">
        <v>312</v>
      </c>
      <c r="D6" s="279"/>
      <c r="E6" s="279"/>
      <c r="F6" s="279"/>
      <c r="G6" s="279"/>
      <c r="H6" s="279"/>
      <c r="I6" s="279"/>
      <c r="J6" s="279"/>
    </row>
    <row r="7" spans="1:10" x14ac:dyDescent="0.25">
      <c r="A7" s="234">
        <v>43047</v>
      </c>
      <c r="B7" s="233" t="s">
        <v>315</v>
      </c>
      <c r="D7" s="279"/>
      <c r="E7" s="279"/>
      <c r="F7" s="279"/>
      <c r="G7" s="279"/>
      <c r="H7" s="279"/>
      <c r="I7" s="279"/>
      <c r="J7" s="279"/>
    </row>
    <row r="8" spans="1:10" x14ac:dyDescent="0.25">
      <c r="A8" s="234">
        <v>43047</v>
      </c>
      <c r="B8" s="233" t="s">
        <v>316</v>
      </c>
      <c r="D8" s="279"/>
      <c r="E8" s="279"/>
      <c r="F8" s="279"/>
      <c r="G8" s="279"/>
      <c r="H8" s="279"/>
      <c r="I8" s="279"/>
      <c r="J8" s="279"/>
    </row>
    <row r="9" spans="1:10" x14ac:dyDescent="0.25">
      <c r="A9" s="234">
        <v>43047</v>
      </c>
      <c r="B9" s="233" t="s">
        <v>318</v>
      </c>
      <c r="D9" s="279"/>
      <c r="E9" s="279"/>
      <c r="F9" s="279"/>
      <c r="G9" s="279"/>
      <c r="H9" s="279"/>
      <c r="I9" s="279"/>
      <c r="J9" s="279"/>
    </row>
    <row r="10" spans="1:10" x14ac:dyDescent="0.25">
      <c r="A10" s="234">
        <v>43047</v>
      </c>
      <c r="B10" s="233" t="s">
        <v>317</v>
      </c>
      <c r="D10" s="279"/>
      <c r="E10" s="279"/>
      <c r="F10" s="279"/>
      <c r="G10" s="279"/>
      <c r="H10" s="279"/>
      <c r="I10" s="279"/>
      <c r="J10" s="279"/>
    </row>
    <row r="11" spans="1:10" x14ac:dyDescent="0.25">
      <c r="A11" s="234">
        <v>43049</v>
      </c>
      <c r="B11" s="233" t="s">
        <v>319</v>
      </c>
      <c r="D11" s="279"/>
      <c r="E11" s="279"/>
      <c r="F11" s="279"/>
      <c r="G11" s="279"/>
      <c r="H11" s="279"/>
      <c r="I11" s="279"/>
      <c r="J11" s="279"/>
    </row>
    <row r="12" spans="1:10" x14ac:dyDescent="0.25">
      <c r="A12" s="234">
        <v>43052</v>
      </c>
      <c r="B12" s="233" t="s">
        <v>320</v>
      </c>
      <c r="D12" s="279"/>
      <c r="E12" s="279"/>
      <c r="F12" s="279"/>
      <c r="G12" s="279"/>
      <c r="H12" s="279"/>
      <c r="I12" s="279"/>
      <c r="J12" s="279"/>
    </row>
    <row r="13" spans="1:10" x14ac:dyDescent="0.25">
      <c r="A13" s="234">
        <v>43054</v>
      </c>
      <c r="B13" s="233" t="s">
        <v>322</v>
      </c>
      <c r="D13" s="279"/>
      <c r="E13" s="279"/>
      <c r="F13" s="279"/>
      <c r="G13" s="279"/>
      <c r="H13" s="279"/>
      <c r="I13" s="279"/>
      <c r="J13" s="279"/>
    </row>
    <row r="14" spans="1:10" x14ac:dyDescent="0.25">
      <c r="A14" s="234">
        <v>43054</v>
      </c>
      <c r="B14" s="233" t="s">
        <v>381</v>
      </c>
      <c r="D14" s="279"/>
      <c r="E14" s="279"/>
      <c r="F14" s="279"/>
      <c r="G14" s="279"/>
      <c r="H14" s="279"/>
      <c r="I14" s="279"/>
      <c r="J14" s="279"/>
    </row>
    <row r="15" spans="1:10" x14ac:dyDescent="0.25">
      <c r="A15" s="234">
        <v>43054</v>
      </c>
      <c r="B15" s="233" t="s">
        <v>323</v>
      </c>
      <c r="D15" s="279"/>
      <c r="E15" s="279"/>
      <c r="F15" s="279"/>
      <c r="G15" s="279"/>
      <c r="H15" s="279"/>
      <c r="I15" s="279"/>
      <c r="J15" s="279"/>
    </row>
    <row r="16" spans="1:10" x14ac:dyDescent="0.25">
      <c r="A16" s="234">
        <v>43054</v>
      </c>
      <c r="B16" s="233" t="s">
        <v>324</v>
      </c>
      <c r="D16" s="279"/>
      <c r="E16" s="279"/>
      <c r="F16" s="279"/>
      <c r="G16" s="279"/>
      <c r="H16" s="279"/>
      <c r="I16" s="279"/>
      <c r="J16" s="279"/>
    </row>
    <row r="17" spans="1:10" x14ac:dyDescent="0.25">
      <c r="A17" s="234">
        <v>43054</v>
      </c>
      <c r="B17" s="233" t="s">
        <v>325</v>
      </c>
      <c r="D17" s="279"/>
      <c r="E17" s="279"/>
      <c r="F17" s="279"/>
      <c r="G17" s="279"/>
      <c r="H17" s="279"/>
      <c r="I17" s="279"/>
      <c r="J17" s="279"/>
    </row>
    <row r="18" spans="1:10" x14ac:dyDescent="0.25">
      <c r="A18" s="234">
        <v>43054</v>
      </c>
      <c r="B18" s="233" t="s">
        <v>354</v>
      </c>
      <c r="D18" s="279"/>
      <c r="E18" s="279"/>
      <c r="F18" s="279"/>
      <c r="G18" s="279"/>
      <c r="H18" s="279"/>
      <c r="I18" s="279"/>
      <c r="J18" s="279"/>
    </row>
    <row r="19" spans="1:10" x14ac:dyDescent="0.25">
      <c r="A19" s="234">
        <v>43054</v>
      </c>
      <c r="B19" s="233" t="s">
        <v>355</v>
      </c>
      <c r="D19" s="279"/>
      <c r="E19" s="279"/>
      <c r="F19" s="279"/>
      <c r="G19" s="279"/>
      <c r="H19" s="279"/>
      <c r="I19" s="279"/>
      <c r="J19" s="279"/>
    </row>
    <row r="20" spans="1:10" x14ac:dyDescent="0.25">
      <c r="A20" s="234">
        <v>43054</v>
      </c>
      <c r="B20" s="233" t="s">
        <v>356</v>
      </c>
      <c r="D20" s="279"/>
      <c r="E20" s="279"/>
      <c r="F20" s="279"/>
      <c r="G20" s="279"/>
      <c r="H20" s="279"/>
      <c r="I20" s="279"/>
      <c r="J20" s="279"/>
    </row>
    <row r="21" spans="1:10" x14ac:dyDescent="0.25">
      <c r="A21" s="234">
        <v>43059</v>
      </c>
      <c r="B21" s="233" t="s">
        <v>379</v>
      </c>
      <c r="D21" s="279"/>
      <c r="E21" s="279"/>
      <c r="F21" s="279"/>
      <c r="G21" s="279"/>
      <c r="H21" s="279"/>
      <c r="I21" s="279"/>
      <c r="J21" s="279"/>
    </row>
    <row r="22" spans="1:10" x14ac:dyDescent="0.25">
      <c r="A22" s="234">
        <v>43059</v>
      </c>
      <c r="B22" s="233" t="s">
        <v>380</v>
      </c>
      <c r="D22" s="279"/>
      <c r="E22" s="279"/>
      <c r="F22" s="279"/>
      <c r="G22" s="279"/>
      <c r="H22" s="279"/>
      <c r="I22" s="279"/>
      <c r="J22" s="279"/>
    </row>
    <row r="23" spans="1:10" x14ac:dyDescent="0.25">
      <c r="A23" s="234">
        <v>43060</v>
      </c>
      <c r="B23" s="233" t="s">
        <v>398</v>
      </c>
      <c r="D23" s="279"/>
      <c r="E23" s="279"/>
      <c r="F23" s="279"/>
      <c r="G23" s="279"/>
      <c r="H23" s="279"/>
      <c r="I23" s="279"/>
      <c r="J23" s="279"/>
    </row>
    <row r="24" spans="1:10" x14ac:dyDescent="0.25">
      <c r="A24" s="234">
        <v>43193</v>
      </c>
      <c r="B24" s="233" t="s">
        <v>408</v>
      </c>
      <c r="D24" s="279"/>
      <c r="E24" s="279"/>
      <c r="F24" s="279"/>
      <c r="G24" s="279"/>
      <c r="H24" s="279"/>
      <c r="I24" s="279"/>
      <c r="J24" s="279"/>
    </row>
    <row r="25" spans="1:10" x14ac:dyDescent="0.25">
      <c r="A25" s="234">
        <v>43193</v>
      </c>
      <c r="B25" s="233" t="s">
        <v>413</v>
      </c>
      <c r="D25" s="279"/>
      <c r="E25" s="279"/>
      <c r="F25" s="279"/>
      <c r="G25" s="279"/>
      <c r="H25" s="279"/>
      <c r="I25" s="279"/>
      <c r="J25" s="279"/>
    </row>
    <row r="26" spans="1:10" x14ac:dyDescent="0.25">
      <c r="A26" s="234">
        <v>43193</v>
      </c>
      <c r="B26" s="233" t="s">
        <v>412</v>
      </c>
      <c r="D26" s="279"/>
      <c r="E26" s="279"/>
      <c r="F26" s="279"/>
      <c r="G26" s="279"/>
      <c r="H26" s="279"/>
      <c r="I26" s="279"/>
      <c r="J26" s="279"/>
    </row>
    <row r="27" spans="1:10" x14ac:dyDescent="0.25">
      <c r="A27" s="234">
        <v>43193</v>
      </c>
      <c r="B27" s="233" t="s">
        <v>414</v>
      </c>
      <c r="D27" s="279"/>
      <c r="E27" s="279"/>
      <c r="F27" s="279"/>
      <c r="G27" s="279"/>
      <c r="H27" s="279"/>
      <c r="I27" s="279"/>
      <c r="J27" s="279"/>
    </row>
    <row r="28" spans="1:10" x14ac:dyDescent="0.25">
      <c r="A28" s="234">
        <v>43199</v>
      </c>
      <c r="B28" s="233" t="s">
        <v>427</v>
      </c>
      <c r="D28" s="279"/>
      <c r="E28" s="279"/>
      <c r="F28" s="279"/>
      <c r="G28" s="279"/>
      <c r="H28" s="279"/>
      <c r="I28" s="279"/>
      <c r="J28" s="279"/>
    </row>
    <row r="29" spans="1:10" x14ac:dyDescent="0.25">
      <c r="A29" s="234">
        <v>43199</v>
      </c>
      <c r="B29" s="233" t="s">
        <v>428</v>
      </c>
      <c r="D29" s="279"/>
      <c r="E29" s="279"/>
      <c r="F29" s="279"/>
      <c r="G29" s="279"/>
      <c r="H29" s="279"/>
      <c r="I29" s="279"/>
      <c r="J29" s="279"/>
    </row>
    <row r="30" spans="1:10" x14ac:dyDescent="0.25">
      <c r="A30" s="234">
        <v>43199</v>
      </c>
      <c r="B30" s="233" t="s">
        <v>429</v>
      </c>
      <c r="D30" s="279"/>
      <c r="E30" s="279"/>
      <c r="F30" s="279"/>
      <c r="G30" s="279"/>
      <c r="H30" s="279"/>
      <c r="I30" s="279"/>
      <c r="J30" s="279"/>
    </row>
    <row r="31" spans="1:10" x14ac:dyDescent="0.25">
      <c r="A31" s="234">
        <v>43199</v>
      </c>
      <c r="B31" s="233" t="s">
        <v>430</v>
      </c>
      <c r="D31" s="279"/>
      <c r="E31" s="279"/>
      <c r="F31" s="279"/>
      <c r="G31" s="279"/>
      <c r="H31" s="279"/>
      <c r="I31" s="279"/>
      <c r="J31" s="279"/>
    </row>
    <row r="32" spans="1:10" x14ac:dyDescent="0.25">
      <c r="A32" s="234">
        <v>43207</v>
      </c>
      <c r="B32" s="233" t="s">
        <v>436</v>
      </c>
      <c r="D32" s="279"/>
      <c r="E32" s="279"/>
      <c r="F32" s="279"/>
      <c r="G32" s="279"/>
      <c r="H32" s="279"/>
      <c r="I32" s="279"/>
      <c r="J32" s="279"/>
    </row>
    <row r="33" spans="1:10" x14ac:dyDescent="0.25">
      <c r="A33" s="234">
        <v>43207</v>
      </c>
      <c r="B33" s="233" t="s">
        <v>433</v>
      </c>
      <c r="D33" s="279"/>
      <c r="E33" s="279"/>
      <c r="F33" s="279"/>
      <c r="G33" s="279"/>
      <c r="H33" s="279"/>
      <c r="I33" s="279"/>
      <c r="J33" s="279"/>
    </row>
    <row r="34" spans="1:10" x14ac:dyDescent="0.25">
      <c r="A34" s="234">
        <v>43207</v>
      </c>
      <c r="B34" s="233" t="s">
        <v>434</v>
      </c>
      <c r="D34" s="279"/>
      <c r="E34" s="279"/>
      <c r="F34" s="279"/>
      <c r="G34" s="279"/>
      <c r="H34" s="279"/>
      <c r="I34" s="279"/>
      <c r="J34" s="279"/>
    </row>
    <row r="35" spans="1:10" x14ac:dyDescent="0.25">
      <c r="A35" s="234">
        <v>43207</v>
      </c>
      <c r="B35" s="233" t="s">
        <v>435</v>
      </c>
      <c r="D35" s="279"/>
      <c r="E35" s="279"/>
      <c r="F35" s="279"/>
      <c r="G35" s="279"/>
      <c r="H35" s="279"/>
      <c r="I35" s="279"/>
      <c r="J35" s="279"/>
    </row>
    <row r="36" spans="1:10" x14ac:dyDescent="0.25">
      <c r="A36" s="234">
        <v>43207</v>
      </c>
      <c r="B36" s="233" t="s">
        <v>625</v>
      </c>
      <c r="D36" s="279"/>
      <c r="E36" s="279"/>
      <c r="F36" s="279"/>
      <c r="G36" s="279"/>
      <c r="H36" s="279"/>
      <c r="I36" s="279"/>
      <c r="J36" s="279"/>
    </row>
    <row r="37" spans="1:10" x14ac:dyDescent="0.25">
      <c r="A37" s="234">
        <v>43216</v>
      </c>
      <c r="B37" s="233" t="s">
        <v>437</v>
      </c>
      <c r="D37" s="279"/>
      <c r="E37" s="279"/>
      <c r="F37" s="279"/>
      <c r="G37" s="279"/>
      <c r="H37" s="279"/>
      <c r="I37" s="279"/>
      <c r="J37" s="279"/>
    </row>
    <row r="38" spans="1:10" x14ac:dyDescent="0.25">
      <c r="A38" s="234">
        <v>43216</v>
      </c>
      <c r="B38" s="233" t="s">
        <v>445</v>
      </c>
      <c r="D38" s="279"/>
      <c r="E38" s="279"/>
      <c r="F38" s="279"/>
      <c r="G38" s="279"/>
      <c r="H38" s="279"/>
      <c r="I38" s="279"/>
      <c r="J38" s="279"/>
    </row>
    <row r="39" spans="1:10" x14ac:dyDescent="0.25">
      <c r="A39" s="234">
        <v>43273</v>
      </c>
      <c r="B39" s="233" t="s">
        <v>606</v>
      </c>
      <c r="D39" s="279"/>
      <c r="E39" s="279"/>
      <c r="F39" s="279"/>
      <c r="G39" s="279"/>
      <c r="H39" s="279"/>
      <c r="I39" s="279"/>
      <c r="J39" s="279"/>
    </row>
    <row r="40" spans="1:10" x14ac:dyDescent="0.25">
      <c r="A40" s="234">
        <v>43273</v>
      </c>
      <c r="B40" s="233" t="s">
        <v>607</v>
      </c>
      <c r="D40" s="279"/>
      <c r="E40" s="279"/>
      <c r="F40" s="279"/>
      <c r="G40" s="279"/>
      <c r="H40" s="279"/>
      <c r="I40" s="279"/>
      <c r="J40" s="279"/>
    </row>
    <row r="41" spans="1:10" x14ac:dyDescent="0.25">
      <c r="A41" s="234">
        <v>43273</v>
      </c>
      <c r="B41" s="233" t="s">
        <v>608</v>
      </c>
      <c r="D41" s="279"/>
      <c r="E41" s="279"/>
      <c r="F41" s="279"/>
      <c r="G41" s="279"/>
      <c r="H41" s="279"/>
      <c r="I41" s="279"/>
      <c r="J41" s="279"/>
    </row>
    <row r="42" spans="1:10" x14ac:dyDescent="0.25">
      <c r="A42" s="234">
        <v>43273</v>
      </c>
      <c r="B42" s="233" t="s">
        <v>609</v>
      </c>
      <c r="D42" s="279"/>
      <c r="E42" s="279"/>
      <c r="F42" s="279"/>
      <c r="G42" s="279"/>
      <c r="H42" s="279"/>
      <c r="I42" s="279"/>
      <c r="J42" s="279"/>
    </row>
    <row r="43" spans="1:10" x14ac:dyDescent="0.25">
      <c r="A43" s="234">
        <v>43273</v>
      </c>
      <c r="B43" s="233" t="s">
        <v>610</v>
      </c>
    </row>
    <row r="44" spans="1:10" x14ac:dyDescent="0.25">
      <c r="A44" s="234">
        <v>43273</v>
      </c>
      <c r="B44" s="233" t="s">
        <v>611</v>
      </c>
    </row>
    <row r="45" spans="1:10" x14ac:dyDescent="0.25">
      <c r="A45" s="234">
        <v>43273</v>
      </c>
      <c r="B45" s="233" t="s">
        <v>612</v>
      </c>
    </row>
    <row r="46" spans="1:10" x14ac:dyDescent="0.25">
      <c r="A46" s="234">
        <v>43273</v>
      </c>
      <c r="B46" s="233" t="s">
        <v>613</v>
      </c>
    </row>
    <row r="47" spans="1:10" x14ac:dyDescent="0.25">
      <c r="A47" s="234">
        <v>43273</v>
      </c>
      <c r="B47" s="233" t="s">
        <v>614</v>
      </c>
    </row>
    <row r="48" spans="1:10" x14ac:dyDescent="0.25">
      <c r="A48" s="234">
        <v>43273</v>
      </c>
      <c r="B48" s="233" t="s">
        <v>615</v>
      </c>
    </row>
    <row r="49" spans="1:2" x14ac:dyDescent="0.25">
      <c r="A49" s="234">
        <v>43273</v>
      </c>
      <c r="B49" s="233" t="s">
        <v>616</v>
      </c>
    </row>
    <row r="50" spans="1:2" x14ac:dyDescent="0.25">
      <c r="A50" s="234">
        <v>43273</v>
      </c>
      <c r="B50" s="233" t="s">
        <v>617</v>
      </c>
    </row>
    <row r="51" spans="1:2" x14ac:dyDescent="0.25">
      <c r="A51" s="234">
        <v>43273</v>
      </c>
      <c r="B51" s="233" t="s">
        <v>620</v>
      </c>
    </row>
    <row r="52" spans="1:2" x14ac:dyDescent="0.25">
      <c r="A52" s="234">
        <v>43273</v>
      </c>
      <c r="B52" s="233" t="s">
        <v>621</v>
      </c>
    </row>
    <row r="53" spans="1:2" x14ac:dyDescent="0.25">
      <c r="A53" s="234">
        <v>43273</v>
      </c>
      <c r="B53" s="233" t="s">
        <v>624</v>
      </c>
    </row>
    <row r="54" spans="1:2" x14ac:dyDescent="0.25">
      <c r="A54" s="234">
        <v>43273</v>
      </c>
      <c r="B54" s="233" t="s">
        <v>622</v>
      </c>
    </row>
    <row r="55" spans="1:2" x14ac:dyDescent="0.25">
      <c r="A55" s="234">
        <v>43273</v>
      </c>
      <c r="B55" s="233" t="s">
        <v>623</v>
      </c>
    </row>
    <row r="56" spans="1:2" x14ac:dyDescent="0.25">
      <c r="A56" s="234">
        <v>43278</v>
      </c>
      <c r="B56" s="233" t="s">
        <v>618</v>
      </c>
    </row>
    <row r="57" spans="1:2" x14ac:dyDescent="0.25">
      <c r="A57" s="234">
        <v>43278</v>
      </c>
      <c r="B57" s="233" t="s">
        <v>619</v>
      </c>
    </row>
    <row r="58" spans="1:2" x14ac:dyDescent="0.25">
      <c r="A58" s="234">
        <v>43425</v>
      </c>
      <c r="B58" s="233" t="s">
        <v>804</v>
      </c>
    </row>
    <row r="59" spans="1:2" x14ac:dyDescent="0.25">
      <c r="A59" s="234">
        <v>43425</v>
      </c>
      <c r="B59" s="233" t="s">
        <v>805</v>
      </c>
    </row>
    <row r="60" spans="1:2" x14ac:dyDescent="0.25">
      <c r="A60" s="234">
        <v>43425</v>
      </c>
      <c r="B60" s="233" t="s">
        <v>806</v>
      </c>
    </row>
    <row r="61" spans="1:2" x14ac:dyDescent="0.25">
      <c r="A61" s="234">
        <v>43425</v>
      </c>
      <c r="B61" s="233" t="s">
        <v>809</v>
      </c>
    </row>
    <row r="62" spans="1:2" x14ac:dyDescent="0.25">
      <c r="A62" s="234">
        <v>43425</v>
      </c>
      <c r="B62" s="233" t="s">
        <v>807</v>
      </c>
    </row>
    <row r="63" spans="1:2" x14ac:dyDescent="0.25">
      <c r="A63" s="234">
        <v>43425</v>
      </c>
      <c r="B63" s="233" t="s">
        <v>814</v>
      </c>
    </row>
    <row r="64" spans="1:2" x14ac:dyDescent="0.25">
      <c r="A64" s="234">
        <v>43425</v>
      </c>
      <c r="B64" s="233" t="s">
        <v>815</v>
      </c>
    </row>
    <row r="65" spans="1:2" x14ac:dyDescent="0.25">
      <c r="A65" s="234">
        <v>43430</v>
      </c>
      <c r="B65" s="233" t="s">
        <v>817</v>
      </c>
    </row>
    <row r="66" spans="1:2" x14ac:dyDescent="0.25">
      <c r="A66" s="234">
        <v>43430</v>
      </c>
      <c r="B66" s="233" t="s">
        <v>816</v>
      </c>
    </row>
    <row r="67" spans="1:2" x14ac:dyDescent="0.25">
      <c r="A67" s="234">
        <v>43490</v>
      </c>
      <c r="B67" s="233" t="s">
        <v>818</v>
      </c>
    </row>
    <row r="68" spans="1:2" x14ac:dyDescent="0.25">
      <c r="A68" s="234">
        <v>43490</v>
      </c>
      <c r="B68" s="233" t="s">
        <v>819</v>
      </c>
    </row>
    <row r="69" spans="1:2" x14ac:dyDescent="0.25">
      <c r="A69" s="234">
        <v>43496</v>
      </c>
      <c r="B69" s="233" t="s">
        <v>822</v>
      </c>
    </row>
    <row r="70" spans="1:2" x14ac:dyDescent="0.25">
      <c r="A70" s="234">
        <v>43498</v>
      </c>
      <c r="B70" s="233" t="s">
        <v>826</v>
      </c>
    </row>
    <row r="71" spans="1:2" x14ac:dyDescent="0.25">
      <c r="A71" s="234">
        <v>43498</v>
      </c>
      <c r="B71" s="233" t="s">
        <v>827</v>
      </c>
    </row>
    <row r="72" spans="1:2" x14ac:dyDescent="0.25">
      <c r="A72" s="234">
        <v>43498</v>
      </c>
      <c r="B72" s="233" t="s">
        <v>828</v>
      </c>
    </row>
    <row r="73" spans="1:2" x14ac:dyDescent="0.25">
      <c r="A73" s="234">
        <v>43498</v>
      </c>
      <c r="B73" s="233" t="s">
        <v>872</v>
      </c>
    </row>
    <row r="74" spans="1:2" x14ac:dyDescent="0.25">
      <c r="A74" s="234">
        <v>43518</v>
      </c>
      <c r="B74" s="233" t="s">
        <v>869</v>
      </c>
    </row>
    <row r="75" spans="1:2" x14ac:dyDescent="0.25">
      <c r="A75" s="234">
        <v>43522</v>
      </c>
      <c r="B75" s="233" t="s">
        <v>873</v>
      </c>
    </row>
    <row r="76" spans="1:2" x14ac:dyDescent="0.25">
      <c r="A76" s="234">
        <v>43522</v>
      </c>
      <c r="B76" s="233" t="s">
        <v>874</v>
      </c>
    </row>
    <row r="77" spans="1:2" x14ac:dyDescent="0.25">
      <c r="A77" s="234">
        <v>43532</v>
      </c>
      <c r="B77" s="233" t="s">
        <v>876</v>
      </c>
    </row>
    <row r="78" spans="1:2" x14ac:dyDescent="0.25">
      <c r="A78" s="234">
        <v>43532</v>
      </c>
      <c r="B78" s="233" t="s">
        <v>877</v>
      </c>
    </row>
    <row r="79" spans="1:2" x14ac:dyDescent="0.25">
      <c r="A79" s="234">
        <v>43532</v>
      </c>
      <c r="B79" s="233" t="s">
        <v>878</v>
      </c>
    </row>
    <row r="80" spans="1:2" x14ac:dyDescent="0.25">
      <c r="A80" s="234">
        <v>43594</v>
      </c>
      <c r="B80" s="233" t="s">
        <v>879</v>
      </c>
    </row>
    <row r="81" spans="1:2" x14ac:dyDescent="0.25">
      <c r="A81" s="234">
        <v>43594</v>
      </c>
      <c r="B81" s="233" t="s">
        <v>880</v>
      </c>
    </row>
    <row r="82" spans="1:2" x14ac:dyDescent="0.25">
      <c r="A82" s="234">
        <v>43594</v>
      </c>
      <c r="B82" s="233" t="s">
        <v>881</v>
      </c>
    </row>
    <row r="83" spans="1:2" x14ac:dyDescent="0.25">
      <c r="A83" s="234">
        <v>43630</v>
      </c>
      <c r="B83" s="233" t="s">
        <v>910</v>
      </c>
    </row>
    <row r="84" spans="1:2" x14ac:dyDescent="0.25">
      <c r="A84" s="234">
        <v>43630</v>
      </c>
      <c r="B84" s="233" t="s">
        <v>911</v>
      </c>
    </row>
    <row r="85" spans="1:2" x14ac:dyDescent="0.25">
      <c r="A85" s="234">
        <v>43630</v>
      </c>
      <c r="B85" s="233" t="s">
        <v>912</v>
      </c>
    </row>
    <row r="86" spans="1:2" x14ac:dyDescent="0.25">
      <c r="A86" s="234">
        <v>43634</v>
      </c>
      <c r="B86" s="233" t="s">
        <v>926</v>
      </c>
    </row>
    <row r="87" spans="1:2" x14ac:dyDescent="0.25">
      <c r="A87" s="234">
        <v>43682</v>
      </c>
      <c r="B87" s="233" t="s">
        <v>924</v>
      </c>
    </row>
    <row r="88" spans="1:2" x14ac:dyDescent="0.25">
      <c r="A88" s="234">
        <v>43682</v>
      </c>
      <c r="B88" s="233" t="s">
        <v>925</v>
      </c>
    </row>
    <row r="89" spans="1:2" x14ac:dyDescent="0.25">
      <c r="A89" s="234">
        <v>43682</v>
      </c>
      <c r="B89" s="233" t="s">
        <v>927</v>
      </c>
    </row>
    <row r="90" spans="1:2" x14ac:dyDescent="0.25">
      <c r="A90" s="234">
        <v>43731</v>
      </c>
      <c r="B90" s="233" t="s">
        <v>928</v>
      </c>
    </row>
    <row r="91" spans="1:2" x14ac:dyDescent="0.25">
      <c r="A91" s="234">
        <v>43775</v>
      </c>
      <c r="B91" s="568" t="s">
        <v>929</v>
      </c>
    </row>
    <row r="92" spans="1:2" x14ac:dyDescent="0.25">
      <c r="A92" s="234">
        <v>43808</v>
      </c>
      <c r="B92" s="233" t="s">
        <v>941</v>
      </c>
    </row>
    <row r="93" spans="1:2" x14ac:dyDescent="0.25">
      <c r="A93" s="234">
        <v>43808</v>
      </c>
      <c r="B93" s="233" t="s">
        <v>942</v>
      </c>
    </row>
    <row r="94" spans="1:2" x14ac:dyDescent="0.25">
      <c r="A94" s="234">
        <v>43808</v>
      </c>
      <c r="B94" s="233" t="s">
        <v>943</v>
      </c>
    </row>
    <row r="95" spans="1:2" x14ac:dyDescent="0.25">
      <c r="A95" s="234">
        <v>43808</v>
      </c>
      <c r="B95" s="233" t="s">
        <v>944</v>
      </c>
    </row>
    <row r="96" spans="1:2" x14ac:dyDescent="0.25">
      <c r="A96" s="234">
        <v>43833</v>
      </c>
      <c r="B96" s="233" t="s">
        <v>945</v>
      </c>
    </row>
    <row r="97" spans="1:2" x14ac:dyDescent="0.25">
      <c r="A97" s="234">
        <v>43833</v>
      </c>
      <c r="B97" s="233" t="s">
        <v>946</v>
      </c>
    </row>
    <row r="98" spans="1:2" x14ac:dyDescent="0.25">
      <c r="A98" s="234">
        <v>43887</v>
      </c>
      <c r="B98" s="233" t="s">
        <v>947</v>
      </c>
    </row>
    <row r="99" spans="1:2" x14ac:dyDescent="0.25">
      <c r="A99" s="234">
        <v>43959</v>
      </c>
      <c r="B99" s="233" t="s">
        <v>1054</v>
      </c>
    </row>
    <row r="100" spans="1:2" x14ac:dyDescent="0.25">
      <c r="A100" s="234">
        <v>43959</v>
      </c>
      <c r="B100" s="233" t="s">
        <v>1064</v>
      </c>
    </row>
    <row r="101" spans="1:2" x14ac:dyDescent="0.25">
      <c r="A101" s="234">
        <v>43959</v>
      </c>
      <c r="B101" s="233" t="s">
        <v>1066</v>
      </c>
    </row>
    <row r="102" spans="1:2" x14ac:dyDescent="0.25">
      <c r="A102" s="234">
        <v>43959</v>
      </c>
      <c r="B102" s="233" t="s">
        <v>1073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31">
    <tabColor theme="8" tint="-0.249977111117893"/>
  </sheetPr>
  <dimension ref="A1:BB565"/>
  <sheetViews>
    <sheetView workbookViewId="0">
      <pane xSplit="2" ySplit="2" topLeftCell="C72" activePane="bottomRight" state="frozen"/>
      <selection pane="topRight" activeCell="C1" sqref="C1"/>
      <selection pane="bottomLeft" activeCell="A3" sqref="A3"/>
      <selection pane="bottomRight" activeCell="A3" sqref="A3:A91"/>
    </sheetView>
  </sheetViews>
  <sheetFormatPr baseColWidth="10" defaultRowHeight="14.4" x14ac:dyDescent="0.3"/>
  <cols>
    <col min="1" max="1" width="18.77734375" style="1" customWidth="1"/>
    <col min="2" max="2" width="8" style="1" customWidth="1"/>
    <col min="3" max="3" width="2.109375" style="1" bestFit="1" customWidth="1"/>
    <col min="4" max="16384" width="11.5546875" style="1"/>
  </cols>
  <sheetData>
    <row r="1" spans="1:54" s="43" customFormat="1" ht="14.4" customHeight="1" x14ac:dyDescent="0.3">
      <c r="A1" s="573" t="s">
        <v>172</v>
      </c>
      <c r="B1" s="390" t="s">
        <v>309</v>
      </c>
      <c r="C1" s="575" t="s">
        <v>188</v>
      </c>
      <c r="D1" s="576"/>
      <c r="E1" s="576"/>
      <c r="F1" s="576"/>
      <c r="G1" s="576"/>
      <c r="H1" s="576"/>
      <c r="I1" s="576"/>
      <c r="J1" s="576"/>
      <c r="K1" s="576"/>
      <c r="L1" s="576"/>
      <c r="M1" s="576"/>
      <c r="N1" s="576"/>
      <c r="O1" s="576"/>
      <c r="P1" s="576"/>
      <c r="Q1" s="576"/>
      <c r="R1" s="576"/>
      <c r="S1" s="576"/>
      <c r="T1" s="576"/>
      <c r="U1" s="576"/>
      <c r="V1" s="576"/>
      <c r="W1" s="576"/>
      <c r="X1" s="576"/>
      <c r="Y1" s="576"/>
      <c r="Z1" s="576"/>
      <c r="AA1" s="576"/>
      <c r="AB1" s="576"/>
      <c r="AC1" s="576"/>
      <c r="AD1" s="576"/>
      <c r="AE1" s="576"/>
      <c r="AF1" s="576"/>
      <c r="AG1" s="576"/>
      <c r="AH1" s="576"/>
      <c r="AI1" s="576"/>
      <c r="AJ1" s="576"/>
      <c r="AK1" s="576"/>
      <c r="AL1" s="576"/>
      <c r="AM1" s="576"/>
      <c r="AN1" s="576"/>
      <c r="AO1" s="576"/>
      <c r="AP1" s="576"/>
      <c r="AQ1" s="576"/>
      <c r="AR1" s="576"/>
      <c r="AS1" s="576"/>
      <c r="AT1" s="576"/>
      <c r="AU1" s="576"/>
      <c r="AV1" s="576"/>
      <c r="AW1" s="576"/>
      <c r="AX1" s="576"/>
      <c r="AY1" s="576"/>
      <c r="AZ1" s="576"/>
      <c r="BA1" s="576"/>
      <c r="BB1" s="576"/>
    </row>
    <row r="2" spans="1:54" s="42" customFormat="1" ht="12" x14ac:dyDescent="0.3">
      <c r="A2" s="574"/>
      <c r="B2" s="391" t="s">
        <v>15</v>
      </c>
      <c r="C2" s="392" t="s">
        <v>173</v>
      </c>
      <c r="D2" s="392" t="s">
        <v>174</v>
      </c>
      <c r="E2" s="392" t="s">
        <v>175</v>
      </c>
      <c r="F2" s="392" t="s">
        <v>176</v>
      </c>
      <c r="G2" s="392" t="s">
        <v>177</v>
      </c>
      <c r="H2" s="392" t="s">
        <v>178</v>
      </c>
      <c r="I2" s="392" t="s">
        <v>179</v>
      </c>
      <c r="J2" s="392" t="s">
        <v>180</v>
      </c>
      <c r="K2" s="392" t="s">
        <v>181</v>
      </c>
      <c r="L2" s="392" t="s">
        <v>182</v>
      </c>
      <c r="M2" s="392" t="s">
        <v>183</v>
      </c>
      <c r="N2" s="392" t="s">
        <v>184</v>
      </c>
      <c r="O2" s="392" t="s">
        <v>185</v>
      </c>
      <c r="P2" s="392" t="s">
        <v>186</v>
      </c>
      <c r="Q2" s="392" t="s">
        <v>187</v>
      </c>
      <c r="R2" s="392" t="s">
        <v>426</v>
      </c>
      <c r="S2" s="392" t="s">
        <v>564</v>
      </c>
      <c r="T2" s="392" t="s">
        <v>304</v>
      </c>
      <c r="U2" s="392" t="s">
        <v>565</v>
      </c>
      <c r="V2" s="392" t="s">
        <v>566</v>
      </c>
      <c r="W2" s="392" t="s">
        <v>567</v>
      </c>
      <c r="X2" s="392" t="s">
        <v>568</v>
      </c>
      <c r="Y2" s="392" t="s">
        <v>569</v>
      </c>
      <c r="Z2" s="392" t="s">
        <v>570</v>
      </c>
      <c r="AA2" s="392" t="s">
        <v>571</v>
      </c>
      <c r="AB2" s="392" t="s">
        <v>572</v>
      </c>
      <c r="AC2" s="392" t="s">
        <v>573</v>
      </c>
      <c r="AD2" s="392" t="s">
        <v>574</v>
      </c>
      <c r="AE2" s="392" t="s">
        <v>575</v>
      </c>
      <c r="AF2" s="392" t="s">
        <v>576</v>
      </c>
      <c r="AG2" s="392" t="s">
        <v>577</v>
      </c>
      <c r="AH2" s="392" t="s">
        <v>578</v>
      </c>
      <c r="AI2" s="392" t="s">
        <v>579</v>
      </c>
      <c r="AJ2" s="392" t="s">
        <v>580</v>
      </c>
      <c r="AK2" s="392" t="s">
        <v>581</v>
      </c>
      <c r="AL2" s="392" t="s">
        <v>586</v>
      </c>
      <c r="AM2" s="392" t="s">
        <v>582</v>
      </c>
      <c r="AN2" s="392" t="s">
        <v>583</v>
      </c>
      <c r="AO2" s="392" t="s">
        <v>584</v>
      </c>
      <c r="AP2" s="392" t="s">
        <v>585</v>
      </c>
      <c r="AQ2" s="392" t="s">
        <v>587</v>
      </c>
      <c r="AR2" s="392" t="s">
        <v>588</v>
      </c>
      <c r="AS2" s="392" t="s">
        <v>589</v>
      </c>
      <c r="AT2" s="392" t="s">
        <v>590</v>
      </c>
      <c r="AU2" s="392" t="s">
        <v>591</v>
      </c>
      <c r="AV2" s="392" t="s">
        <v>592</v>
      </c>
      <c r="AW2" s="392" t="s">
        <v>593</v>
      </c>
      <c r="AX2" s="392" t="s">
        <v>594</v>
      </c>
      <c r="AY2" s="392" t="s">
        <v>595</v>
      </c>
      <c r="AZ2" s="392" t="s">
        <v>596</v>
      </c>
      <c r="BA2" s="392" t="s">
        <v>597</v>
      </c>
      <c r="BB2" s="392" t="s">
        <v>598</v>
      </c>
    </row>
    <row r="3" spans="1:54" s="47" customFormat="1" ht="30.6" x14ac:dyDescent="0.2">
      <c r="A3" s="384" t="s">
        <v>439</v>
      </c>
      <c r="B3" s="378" t="s">
        <v>599</v>
      </c>
      <c r="C3" s="378" t="s">
        <v>15</v>
      </c>
      <c r="D3" s="378" t="s">
        <v>61</v>
      </c>
      <c r="E3" s="378" t="s">
        <v>440</v>
      </c>
      <c r="F3" s="378" t="s">
        <v>441</v>
      </c>
      <c r="G3" s="378" t="s">
        <v>442</v>
      </c>
      <c r="H3" s="378" t="s">
        <v>443</v>
      </c>
      <c r="I3" s="378" t="s">
        <v>444</v>
      </c>
      <c r="J3" s="378"/>
      <c r="K3" s="378"/>
      <c r="L3" s="378"/>
      <c r="M3" s="378"/>
      <c r="N3" s="378"/>
      <c r="O3" s="378"/>
      <c r="P3" s="378"/>
      <c r="Q3" s="378"/>
      <c r="R3" s="75"/>
      <c r="S3" s="75"/>
    </row>
    <row r="4" spans="1:54" s="47" customFormat="1" ht="20.399999999999999" x14ac:dyDescent="0.2">
      <c r="A4" s="378" t="s">
        <v>11</v>
      </c>
      <c r="B4" s="378" t="s">
        <v>600</v>
      </c>
      <c r="C4" s="378" t="s">
        <v>15</v>
      </c>
      <c r="D4" s="378" t="s">
        <v>27</v>
      </c>
      <c r="E4" s="378" t="s">
        <v>91</v>
      </c>
      <c r="F4" s="378" t="s">
        <v>92</v>
      </c>
      <c r="G4" s="378" t="s">
        <v>93</v>
      </c>
      <c r="H4" s="378" t="s">
        <v>94</v>
      </c>
      <c r="I4" s="378" t="s">
        <v>95</v>
      </c>
      <c r="J4" s="378" t="s">
        <v>96</v>
      </c>
      <c r="K4" s="378" t="s">
        <v>97</v>
      </c>
      <c r="L4" s="378" t="s">
        <v>98</v>
      </c>
      <c r="M4" s="378" t="s">
        <v>73</v>
      </c>
      <c r="N4" s="378" t="s">
        <v>105</v>
      </c>
      <c r="O4" s="378" t="s">
        <v>100</v>
      </c>
      <c r="P4" s="378" t="s">
        <v>124</v>
      </c>
      <c r="Q4" s="385" t="s">
        <v>61</v>
      </c>
      <c r="R4" s="387" t="s">
        <v>62</v>
      </c>
      <c r="S4" s="387" t="s">
        <v>63</v>
      </c>
      <c r="T4" s="387" t="s">
        <v>64</v>
      </c>
      <c r="U4" s="387" t="s">
        <v>65</v>
      </c>
      <c r="V4" s="387" t="s">
        <v>66</v>
      </c>
      <c r="W4" s="387" t="s">
        <v>67</v>
      </c>
      <c r="X4" s="387" t="s">
        <v>68</v>
      </c>
      <c r="Y4" s="387" t="s">
        <v>547</v>
      </c>
      <c r="Z4" s="387" t="s">
        <v>69</v>
      </c>
      <c r="AA4" s="387" t="s">
        <v>163</v>
      </c>
      <c r="AB4" s="387" t="s">
        <v>149</v>
      </c>
      <c r="AC4" s="387" t="s">
        <v>158</v>
      </c>
      <c r="AD4" s="387" t="s">
        <v>538</v>
      </c>
      <c r="AE4" s="387" t="s">
        <v>272</v>
      </c>
      <c r="AF4" s="387" t="s">
        <v>282</v>
      </c>
      <c r="AG4" s="387" t="s">
        <v>273</v>
      </c>
      <c r="AH4" s="387" t="s">
        <v>292</v>
      </c>
      <c r="AI4" s="387" t="s">
        <v>271</v>
      </c>
      <c r="AJ4" s="387" t="s">
        <v>548</v>
      </c>
      <c r="AK4" s="387" t="s">
        <v>270</v>
      </c>
      <c r="AL4" s="387" t="s">
        <v>102</v>
      </c>
      <c r="AM4" s="387" t="s">
        <v>107</v>
      </c>
      <c r="AN4" s="387" t="s">
        <v>108</v>
      </c>
      <c r="AO4" s="387" t="s">
        <v>109</v>
      </c>
      <c r="AP4" s="387" t="s">
        <v>111</v>
      </c>
      <c r="AQ4" s="387" t="s">
        <v>110</v>
      </c>
      <c r="AR4" s="387" t="s">
        <v>104</v>
      </c>
      <c r="AS4" s="387" t="s">
        <v>112</v>
      </c>
      <c r="AT4" s="387" t="s">
        <v>106</v>
      </c>
      <c r="AU4" s="387" t="s">
        <v>411</v>
      </c>
      <c r="AV4" s="387" t="s">
        <v>103</v>
      </c>
      <c r="AW4" s="387" t="s">
        <v>19</v>
      </c>
      <c r="AX4" s="387" t="s">
        <v>99</v>
      </c>
      <c r="AY4" s="387" t="s">
        <v>415</v>
      </c>
    </row>
    <row r="5" spans="1:54" s="47" customFormat="1" ht="20.399999999999999" x14ac:dyDescent="0.2">
      <c r="A5" s="378" t="s">
        <v>11</v>
      </c>
      <c r="B5" s="378" t="s">
        <v>599</v>
      </c>
      <c r="C5" s="378" t="s">
        <v>15</v>
      </c>
      <c r="D5" s="378" t="s">
        <v>27</v>
      </c>
      <c r="E5" s="378" t="s">
        <v>91</v>
      </c>
      <c r="F5" s="378" t="s">
        <v>92</v>
      </c>
      <c r="G5" s="378" t="s">
        <v>93</v>
      </c>
      <c r="H5" s="378" t="s">
        <v>94</v>
      </c>
      <c r="I5" s="378" t="s">
        <v>95</v>
      </c>
      <c r="J5" s="378" t="s">
        <v>96</v>
      </c>
      <c r="K5" s="378" t="s">
        <v>97</v>
      </c>
      <c r="L5" s="378" t="s">
        <v>98</v>
      </c>
      <c r="M5" s="378" t="s">
        <v>73</v>
      </c>
      <c r="N5" s="378" t="s">
        <v>105</v>
      </c>
      <c r="O5" s="378" t="s">
        <v>100</v>
      </c>
      <c r="P5" s="378" t="s">
        <v>124</v>
      </c>
      <c r="Q5" s="384" t="s">
        <v>99</v>
      </c>
      <c r="R5" s="386" t="s">
        <v>415</v>
      </c>
      <c r="S5" s="75"/>
    </row>
    <row r="6" spans="1:54" s="47" customFormat="1" ht="20.399999999999999" x14ac:dyDescent="0.2">
      <c r="A6" s="384" t="s">
        <v>269</v>
      </c>
      <c r="B6" s="378" t="s">
        <v>599</v>
      </c>
      <c r="C6" s="378" t="s">
        <v>15</v>
      </c>
      <c r="D6" s="378" t="s">
        <v>149</v>
      </c>
      <c r="E6" s="378" t="s">
        <v>69</v>
      </c>
      <c r="F6" s="378" t="s">
        <v>163</v>
      </c>
      <c r="G6" s="378" t="s">
        <v>270</v>
      </c>
      <c r="H6" s="378" t="s">
        <v>271</v>
      </c>
      <c r="I6" s="378" t="s">
        <v>272</v>
      </c>
      <c r="J6" s="378" t="s">
        <v>273</v>
      </c>
      <c r="K6" s="378" t="s">
        <v>158</v>
      </c>
      <c r="L6" s="378" t="s">
        <v>282</v>
      </c>
      <c r="M6" s="378" t="s">
        <v>292</v>
      </c>
      <c r="N6" s="378"/>
      <c r="O6" s="378"/>
      <c r="P6" s="378"/>
      <c r="Q6" s="378"/>
      <c r="R6" s="75"/>
      <c r="S6" s="75"/>
    </row>
    <row r="7" spans="1:54" s="47" customFormat="1" ht="30.6" x14ac:dyDescent="0.2">
      <c r="A7" s="384" t="s">
        <v>37</v>
      </c>
      <c r="B7" s="378" t="s">
        <v>599</v>
      </c>
      <c r="C7" s="378" t="s">
        <v>15</v>
      </c>
      <c r="D7" s="378" t="s">
        <v>69</v>
      </c>
      <c r="E7" s="378" t="s">
        <v>102</v>
      </c>
      <c r="F7" s="378" t="s">
        <v>103</v>
      </c>
      <c r="G7" s="378" t="s">
        <v>104</v>
      </c>
      <c r="H7" s="378" t="s">
        <v>106</v>
      </c>
      <c r="I7" s="378" t="s">
        <v>107</v>
      </c>
      <c r="J7" s="378" t="s">
        <v>108</v>
      </c>
      <c r="K7" s="378" t="s">
        <v>109</v>
      </c>
      <c r="L7" s="378" t="s">
        <v>110</v>
      </c>
      <c r="M7" s="378" t="s">
        <v>111</v>
      </c>
      <c r="N7" s="378" t="s">
        <v>112</v>
      </c>
      <c r="O7" s="378" t="s">
        <v>411</v>
      </c>
      <c r="P7" s="378"/>
      <c r="Q7" s="378"/>
      <c r="R7" s="75"/>
      <c r="S7" s="75"/>
    </row>
    <row r="8" spans="1:54" s="47" customFormat="1" ht="10.199999999999999" x14ac:dyDescent="0.2">
      <c r="A8" s="384" t="s">
        <v>29</v>
      </c>
      <c r="B8" s="378" t="s">
        <v>599</v>
      </c>
      <c r="C8" s="378" t="s">
        <v>15</v>
      </c>
      <c r="D8" s="378" t="s">
        <v>120</v>
      </c>
      <c r="E8" s="378" t="s">
        <v>121</v>
      </c>
      <c r="F8" s="378" t="s">
        <v>122</v>
      </c>
      <c r="G8" s="378" t="s">
        <v>38</v>
      </c>
      <c r="H8" s="378"/>
      <c r="I8" s="378"/>
      <c r="J8" s="378"/>
      <c r="K8" s="378"/>
      <c r="L8" s="378"/>
      <c r="M8" s="378"/>
      <c r="N8" s="378"/>
      <c r="O8" s="378"/>
      <c r="P8" s="378"/>
      <c r="Q8" s="378"/>
      <c r="R8" s="75"/>
      <c r="S8" s="75"/>
    </row>
    <row r="9" spans="1:54" s="47" customFormat="1" ht="20.399999999999999" x14ac:dyDescent="0.2">
      <c r="A9" s="378" t="s">
        <v>59</v>
      </c>
      <c r="B9" s="378" t="s">
        <v>600</v>
      </c>
      <c r="C9" s="378" t="s">
        <v>15</v>
      </c>
      <c r="D9" s="378" t="s">
        <v>115</v>
      </c>
      <c r="E9" s="378" t="s">
        <v>170</v>
      </c>
      <c r="F9" s="378" t="s">
        <v>171</v>
      </c>
      <c r="G9" s="385" t="s">
        <v>61</v>
      </c>
      <c r="H9" s="385" t="s">
        <v>62</v>
      </c>
      <c r="I9" s="385" t="s">
        <v>63</v>
      </c>
      <c r="J9" s="385" t="s">
        <v>64</v>
      </c>
      <c r="K9" s="385" t="s">
        <v>65</v>
      </c>
      <c r="L9" s="385" t="s">
        <v>66</v>
      </c>
      <c r="M9" s="385" t="s">
        <v>67</v>
      </c>
      <c r="N9" s="385" t="s">
        <v>68</v>
      </c>
      <c r="O9" s="385" t="s">
        <v>19</v>
      </c>
      <c r="P9" s="378"/>
      <c r="Q9" s="378"/>
      <c r="R9" s="75"/>
      <c r="S9" s="75"/>
    </row>
    <row r="10" spans="1:54" s="47" customFormat="1" ht="20.399999999999999" x14ac:dyDescent="0.2">
      <c r="A10" s="378" t="s">
        <v>59</v>
      </c>
      <c r="B10" s="378" t="s">
        <v>599</v>
      </c>
      <c r="C10" s="378" t="s">
        <v>15</v>
      </c>
      <c r="D10" s="378" t="s">
        <v>115</v>
      </c>
      <c r="E10" s="378" t="s">
        <v>170</v>
      </c>
      <c r="F10" s="378" t="s">
        <v>171</v>
      </c>
      <c r="G10" s="378"/>
      <c r="H10" s="378"/>
      <c r="I10" s="378"/>
      <c r="J10" s="378"/>
      <c r="K10" s="378"/>
      <c r="L10" s="378"/>
      <c r="M10" s="378"/>
      <c r="N10" s="378"/>
      <c r="O10" s="378"/>
      <c r="P10" s="378"/>
      <c r="Q10" s="378"/>
      <c r="R10" s="75"/>
      <c r="S10" s="75"/>
    </row>
    <row r="11" spans="1:54" s="47" customFormat="1" ht="20.399999999999999" x14ac:dyDescent="0.2">
      <c r="A11" s="379" t="s">
        <v>12</v>
      </c>
      <c r="B11" s="378" t="s">
        <v>600</v>
      </c>
      <c r="C11" s="378" t="s">
        <v>15</v>
      </c>
      <c r="D11" s="378" t="s">
        <v>38</v>
      </c>
      <c r="E11" s="378" t="s">
        <v>34</v>
      </c>
      <c r="F11" s="385" t="s">
        <v>61</v>
      </c>
      <c r="G11" s="385" t="s">
        <v>62</v>
      </c>
      <c r="H11" s="385" t="s">
        <v>63</v>
      </c>
      <c r="I11" s="385" t="s">
        <v>64</v>
      </c>
      <c r="J11" s="385" t="s">
        <v>65</v>
      </c>
      <c r="K11" s="385" t="s">
        <v>66</v>
      </c>
      <c r="L11" s="385" t="s">
        <v>67</v>
      </c>
      <c r="M11" s="385" t="s">
        <v>68</v>
      </c>
      <c r="N11" s="385" t="s">
        <v>19</v>
      </c>
      <c r="O11" s="378"/>
      <c r="P11" s="378"/>
      <c r="Q11" s="380"/>
      <c r="R11" s="75"/>
      <c r="S11" s="75"/>
    </row>
    <row r="12" spans="1:54" s="47" customFormat="1" ht="20.399999999999999" x14ac:dyDescent="0.2">
      <c r="A12" s="378" t="s">
        <v>12</v>
      </c>
      <c r="B12" s="378" t="s">
        <v>599</v>
      </c>
      <c r="C12" s="378" t="s">
        <v>15</v>
      </c>
      <c r="D12" s="378" t="s">
        <v>38</v>
      </c>
      <c r="E12" s="378" t="s">
        <v>34</v>
      </c>
      <c r="F12" s="378"/>
      <c r="G12" s="378"/>
      <c r="H12" s="378"/>
      <c r="I12" s="378"/>
      <c r="J12" s="378"/>
      <c r="K12" s="378"/>
      <c r="L12" s="378"/>
      <c r="M12" s="378"/>
      <c r="N12" s="378"/>
      <c r="O12" s="378"/>
      <c r="P12" s="378"/>
      <c r="Q12" s="378"/>
      <c r="R12" s="75"/>
      <c r="S12" s="75"/>
    </row>
    <row r="13" spans="1:54" s="47" customFormat="1" ht="20.399999999999999" x14ac:dyDescent="0.2">
      <c r="A13" s="378" t="s">
        <v>278</v>
      </c>
      <c r="B13" s="378" t="s">
        <v>600</v>
      </c>
      <c r="C13" s="378" t="s">
        <v>15</v>
      </c>
      <c r="D13" s="378" t="s">
        <v>17</v>
      </c>
      <c r="E13" s="378" t="s">
        <v>19</v>
      </c>
      <c r="F13" s="385" t="s">
        <v>61</v>
      </c>
      <c r="G13" s="385" t="s">
        <v>62</v>
      </c>
      <c r="H13" s="385" t="s">
        <v>63</v>
      </c>
      <c r="I13" s="385" t="s">
        <v>64</v>
      </c>
      <c r="J13" s="385" t="s">
        <v>65</v>
      </c>
      <c r="K13" s="385" t="s">
        <v>66</v>
      </c>
      <c r="L13" s="385" t="s">
        <v>67</v>
      </c>
      <c r="M13" s="385" t="s">
        <v>68</v>
      </c>
      <c r="N13" s="393" t="s">
        <v>602</v>
      </c>
      <c r="O13" s="378"/>
      <c r="P13" s="378"/>
      <c r="Q13" s="378"/>
      <c r="R13" s="75"/>
      <c r="S13" s="75"/>
    </row>
    <row r="14" spans="1:54" s="47" customFormat="1" ht="20.399999999999999" x14ac:dyDescent="0.2">
      <c r="A14" s="378" t="s">
        <v>278</v>
      </c>
      <c r="B14" s="378" t="s">
        <v>599</v>
      </c>
      <c r="C14" s="378" t="s">
        <v>15</v>
      </c>
      <c r="D14" s="378" t="s">
        <v>17</v>
      </c>
      <c r="E14" s="378" t="s">
        <v>19</v>
      </c>
      <c r="F14" s="378"/>
      <c r="G14" s="378"/>
      <c r="H14" s="378"/>
      <c r="I14" s="378"/>
      <c r="J14" s="378"/>
      <c r="K14" s="378"/>
      <c r="L14" s="378"/>
      <c r="M14" s="378"/>
      <c r="N14" s="378"/>
      <c r="O14" s="378"/>
      <c r="P14" s="378"/>
      <c r="Q14" s="378"/>
      <c r="R14" s="75"/>
      <c r="S14" s="75"/>
    </row>
    <row r="15" spans="1:54" s="47" customFormat="1" ht="20.399999999999999" x14ac:dyDescent="0.2">
      <c r="A15" s="378" t="s">
        <v>13</v>
      </c>
      <c r="B15" s="378" t="s">
        <v>600</v>
      </c>
      <c r="C15" s="378" t="s">
        <v>15</v>
      </c>
      <c r="D15" s="378" t="s">
        <v>38</v>
      </c>
      <c r="E15" s="385" t="s">
        <v>61</v>
      </c>
      <c r="F15" s="385" t="s">
        <v>62</v>
      </c>
      <c r="G15" s="385" t="s">
        <v>63</v>
      </c>
      <c r="H15" s="385" t="s">
        <v>64</v>
      </c>
      <c r="I15" s="385" t="s">
        <v>65</v>
      </c>
      <c r="J15" s="385" t="s">
        <v>66</v>
      </c>
      <c r="K15" s="385" t="s">
        <v>67</v>
      </c>
      <c r="L15" s="385" t="s">
        <v>68</v>
      </c>
      <c r="M15" s="385" t="s">
        <v>32</v>
      </c>
      <c r="N15" s="378"/>
      <c r="O15" s="378"/>
      <c r="P15" s="378"/>
      <c r="Q15" s="378"/>
      <c r="R15" s="75"/>
      <c r="S15" s="75"/>
    </row>
    <row r="16" spans="1:54" s="47" customFormat="1" ht="20.399999999999999" x14ac:dyDescent="0.2">
      <c r="A16" s="378" t="s">
        <v>13</v>
      </c>
      <c r="B16" s="378" t="s">
        <v>599</v>
      </c>
      <c r="C16" s="378" t="s">
        <v>15</v>
      </c>
      <c r="D16" s="378" t="s">
        <v>38</v>
      </c>
      <c r="E16" s="384" t="s">
        <v>32</v>
      </c>
      <c r="F16" s="378"/>
      <c r="G16" s="378"/>
      <c r="H16" s="378"/>
      <c r="I16" s="378"/>
      <c r="J16" s="378"/>
      <c r="K16" s="378"/>
      <c r="L16" s="378"/>
      <c r="M16" s="378"/>
      <c r="N16" s="378"/>
      <c r="O16" s="378"/>
      <c r="P16" s="378"/>
      <c r="Q16" s="378"/>
      <c r="R16" s="75"/>
      <c r="S16" s="75"/>
    </row>
    <row r="17" spans="1:19" s="47" customFormat="1" ht="20.399999999999999" x14ac:dyDescent="0.2">
      <c r="A17" s="378" t="s">
        <v>8</v>
      </c>
      <c r="B17" s="378" t="s">
        <v>600</v>
      </c>
      <c r="C17" s="378" t="s">
        <v>15</v>
      </c>
      <c r="D17" s="385" t="s">
        <v>61</v>
      </c>
      <c r="E17" s="385" t="s">
        <v>62</v>
      </c>
      <c r="F17" s="385" t="s">
        <v>63</v>
      </c>
      <c r="G17" s="385" t="s">
        <v>64</v>
      </c>
      <c r="H17" s="385" t="s">
        <v>65</v>
      </c>
      <c r="I17" s="385" t="s">
        <v>66</v>
      </c>
      <c r="J17" s="385" t="s">
        <v>67</v>
      </c>
      <c r="K17" s="385" t="s">
        <v>68</v>
      </c>
      <c r="L17" s="385" t="s">
        <v>19</v>
      </c>
      <c r="M17" s="385" t="s">
        <v>32</v>
      </c>
      <c r="N17" s="385" t="s">
        <v>34</v>
      </c>
      <c r="O17" s="378"/>
      <c r="P17" s="378"/>
      <c r="Q17" s="378"/>
      <c r="R17" s="75"/>
      <c r="S17" s="75"/>
    </row>
    <row r="18" spans="1:19" s="47" customFormat="1" ht="20.399999999999999" x14ac:dyDescent="0.2">
      <c r="A18" s="378" t="s">
        <v>8</v>
      </c>
      <c r="B18" s="378" t="s">
        <v>599</v>
      </c>
      <c r="C18" s="378" t="s">
        <v>15</v>
      </c>
      <c r="D18" s="384" t="s">
        <v>32</v>
      </c>
      <c r="E18" s="384" t="s">
        <v>34</v>
      </c>
      <c r="F18" s="378"/>
      <c r="G18" s="378"/>
      <c r="H18" s="378"/>
      <c r="I18" s="378"/>
      <c r="J18" s="378"/>
      <c r="K18" s="378"/>
      <c r="L18" s="378"/>
      <c r="M18" s="378"/>
      <c r="N18" s="378"/>
      <c r="O18" s="378"/>
      <c r="P18" s="378"/>
      <c r="Q18" s="378"/>
      <c r="R18" s="75"/>
      <c r="S18" s="75"/>
    </row>
    <row r="19" spans="1:19" s="47" customFormat="1" ht="20.399999999999999" x14ac:dyDescent="0.2">
      <c r="A19" s="378" t="s">
        <v>7</v>
      </c>
      <c r="B19" s="378" t="s">
        <v>600</v>
      </c>
      <c r="C19" s="378" t="s">
        <v>15</v>
      </c>
      <c r="D19" s="385" t="s">
        <v>61</v>
      </c>
      <c r="E19" s="385" t="s">
        <v>62</v>
      </c>
      <c r="F19" s="385" t="s">
        <v>63</v>
      </c>
      <c r="G19" s="385" t="s">
        <v>64</v>
      </c>
      <c r="H19" s="385" t="s">
        <v>65</v>
      </c>
      <c r="I19" s="385" t="s">
        <v>66</v>
      </c>
      <c r="J19" s="385" t="s">
        <v>67</v>
      </c>
      <c r="K19" s="385" t="s">
        <v>68</v>
      </c>
      <c r="L19" s="385" t="s">
        <v>19</v>
      </c>
      <c r="M19" s="385" t="s">
        <v>32</v>
      </c>
      <c r="N19" s="385" t="s">
        <v>33</v>
      </c>
      <c r="O19" s="378"/>
      <c r="P19" s="378"/>
      <c r="Q19" s="378"/>
      <c r="R19" s="75"/>
      <c r="S19" s="75"/>
    </row>
    <row r="20" spans="1:19" s="47" customFormat="1" ht="20.399999999999999" x14ac:dyDescent="0.2">
      <c r="A20" s="378" t="s">
        <v>7</v>
      </c>
      <c r="B20" s="378" t="s">
        <v>599</v>
      </c>
      <c r="C20" s="378" t="s">
        <v>15</v>
      </c>
      <c r="D20" s="384" t="s">
        <v>32</v>
      </c>
      <c r="E20" s="384" t="s">
        <v>33</v>
      </c>
      <c r="F20" s="378"/>
      <c r="G20" s="378"/>
      <c r="H20" s="378"/>
      <c r="I20" s="378"/>
      <c r="J20" s="378"/>
      <c r="K20" s="378"/>
      <c r="L20" s="378"/>
      <c r="M20" s="378"/>
      <c r="N20" s="378"/>
      <c r="O20" s="378"/>
      <c r="P20" s="378"/>
      <c r="Q20" s="378"/>
      <c r="R20" s="75"/>
      <c r="S20" s="75"/>
    </row>
    <row r="21" spans="1:19" s="47" customFormat="1" ht="20.399999999999999" x14ac:dyDescent="0.2">
      <c r="A21" s="378" t="s">
        <v>425</v>
      </c>
      <c r="B21" s="378" t="s">
        <v>600</v>
      </c>
      <c r="C21" s="378" t="s">
        <v>15</v>
      </c>
      <c r="D21" s="378" t="s">
        <v>32</v>
      </c>
      <c r="E21" s="378" t="s">
        <v>417</v>
      </c>
      <c r="F21" s="385" t="s">
        <v>61</v>
      </c>
      <c r="G21" s="385" t="s">
        <v>62</v>
      </c>
      <c r="H21" s="385" t="s">
        <v>63</v>
      </c>
      <c r="I21" s="385" t="s">
        <v>64</v>
      </c>
      <c r="J21" s="385" t="s">
        <v>65</v>
      </c>
      <c r="K21" s="385" t="s">
        <v>66</v>
      </c>
      <c r="L21" s="385" t="s">
        <v>67</v>
      </c>
      <c r="M21" s="385" t="s">
        <v>68</v>
      </c>
      <c r="N21" s="385" t="s">
        <v>19</v>
      </c>
      <c r="O21" s="378"/>
      <c r="P21" s="378"/>
      <c r="Q21" s="378"/>
      <c r="R21" s="75"/>
      <c r="S21" s="75"/>
    </row>
    <row r="22" spans="1:19" s="47" customFormat="1" ht="20.399999999999999" x14ac:dyDescent="0.2">
      <c r="A22" s="378" t="s">
        <v>425</v>
      </c>
      <c r="B22" s="378" t="s">
        <v>599</v>
      </c>
      <c r="C22" s="378" t="s">
        <v>15</v>
      </c>
      <c r="D22" s="378" t="s">
        <v>32</v>
      </c>
      <c r="E22" s="378" t="s">
        <v>417</v>
      </c>
      <c r="F22" s="378"/>
      <c r="G22" s="378"/>
      <c r="H22" s="378"/>
      <c r="I22" s="378"/>
      <c r="J22" s="378"/>
      <c r="K22" s="378"/>
      <c r="L22" s="378"/>
      <c r="M22" s="378"/>
      <c r="N22" s="378"/>
      <c r="O22" s="378"/>
      <c r="P22" s="378"/>
      <c r="Q22" s="378"/>
      <c r="R22" s="75"/>
      <c r="S22" s="75"/>
    </row>
    <row r="23" spans="1:19" s="47" customFormat="1" ht="20.399999999999999" x14ac:dyDescent="0.2">
      <c r="A23" s="384" t="s">
        <v>14</v>
      </c>
      <c r="B23" s="378" t="s">
        <v>599</v>
      </c>
      <c r="C23" s="378" t="s">
        <v>15</v>
      </c>
      <c r="D23" s="378" t="s">
        <v>39</v>
      </c>
      <c r="E23" s="378" t="s">
        <v>40</v>
      </c>
      <c r="F23" s="378"/>
      <c r="G23" s="378"/>
      <c r="H23" s="378"/>
      <c r="I23" s="378"/>
      <c r="J23" s="378"/>
      <c r="K23" s="378"/>
      <c r="L23" s="378"/>
      <c r="M23" s="378"/>
      <c r="N23" s="378"/>
      <c r="O23" s="378"/>
      <c r="P23" s="378"/>
      <c r="Q23" s="378"/>
      <c r="R23" s="75"/>
      <c r="S23" s="75"/>
    </row>
    <row r="24" spans="1:19" s="47" customFormat="1" ht="20.399999999999999" x14ac:dyDescent="0.2">
      <c r="A24" s="388" t="s">
        <v>293</v>
      </c>
      <c r="B24" s="378" t="s">
        <v>599</v>
      </c>
      <c r="C24" s="378" t="s">
        <v>15</v>
      </c>
      <c r="D24" s="378" t="s">
        <v>126</v>
      </c>
      <c r="E24" s="378" t="s">
        <v>294</v>
      </c>
      <c r="F24" s="378"/>
      <c r="G24" s="378"/>
      <c r="H24" s="378"/>
      <c r="I24" s="378"/>
      <c r="J24" s="378"/>
      <c r="K24" s="378"/>
      <c r="L24" s="378"/>
      <c r="M24" s="378"/>
      <c r="N24" s="378"/>
      <c r="O24" s="378"/>
      <c r="P24" s="378"/>
      <c r="Q24" s="380"/>
      <c r="R24" s="75"/>
      <c r="S24" s="75"/>
    </row>
    <row r="25" spans="1:19" s="47" customFormat="1" ht="20.399999999999999" x14ac:dyDescent="0.2">
      <c r="A25" s="384" t="s">
        <v>295</v>
      </c>
      <c r="B25" s="378" t="s">
        <v>599</v>
      </c>
      <c r="C25" s="378" t="s">
        <v>15</v>
      </c>
      <c r="D25" s="378" t="s">
        <v>126</v>
      </c>
      <c r="E25" s="378" t="s">
        <v>294</v>
      </c>
      <c r="F25" s="378"/>
      <c r="G25" s="378"/>
      <c r="H25" s="378"/>
      <c r="I25" s="378"/>
      <c r="J25" s="378"/>
      <c r="K25" s="378"/>
      <c r="L25" s="378"/>
      <c r="M25" s="378"/>
      <c r="N25" s="378"/>
      <c r="O25" s="378"/>
      <c r="P25" s="378"/>
      <c r="Q25" s="378"/>
      <c r="R25" s="75"/>
      <c r="S25" s="75"/>
    </row>
    <row r="26" spans="1:19" s="47" customFormat="1" ht="20.399999999999999" x14ac:dyDescent="0.2">
      <c r="A26" s="379" t="s">
        <v>52</v>
      </c>
      <c r="B26" s="378" t="s">
        <v>600</v>
      </c>
      <c r="C26" s="378" t="s">
        <v>15</v>
      </c>
      <c r="D26" s="378" t="s">
        <v>115</v>
      </c>
      <c r="E26" s="378" t="s">
        <v>16</v>
      </c>
      <c r="F26" s="378" t="s">
        <v>22</v>
      </c>
      <c r="G26" s="385" t="s">
        <v>61</v>
      </c>
      <c r="H26" s="385" t="s">
        <v>62</v>
      </c>
      <c r="I26" s="385" t="s">
        <v>63</v>
      </c>
      <c r="J26" s="385" t="s">
        <v>64</v>
      </c>
      <c r="K26" s="385" t="s">
        <v>65</v>
      </c>
      <c r="L26" s="385" t="s">
        <v>66</v>
      </c>
      <c r="M26" s="385" t="s">
        <v>67</v>
      </c>
      <c r="N26" s="385" t="s">
        <v>68</v>
      </c>
      <c r="O26" s="385" t="s">
        <v>19</v>
      </c>
      <c r="P26" s="378"/>
      <c r="Q26" s="380"/>
      <c r="R26" s="75"/>
      <c r="S26" s="75"/>
    </row>
    <row r="27" spans="1:19" s="47" customFormat="1" ht="20.399999999999999" x14ac:dyDescent="0.2">
      <c r="A27" s="378" t="s">
        <v>52</v>
      </c>
      <c r="B27" s="378" t="s">
        <v>599</v>
      </c>
      <c r="C27" s="378" t="s">
        <v>15</v>
      </c>
      <c r="D27" s="378" t="s">
        <v>115</v>
      </c>
      <c r="E27" s="378" t="s">
        <v>16</v>
      </c>
      <c r="F27" s="378" t="s">
        <v>22</v>
      </c>
      <c r="G27" s="378"/>
      <c r="H27" s="378"/>
      <c r="I27" s="378"/>
      <c r="J27" s="378"/>
      <c r="K27" s="378"/>
      <c r="L27" s="378"/>
      <c r="M27" s="378"/>
      <c r="N27" s="378"/>
      <c r="O27" s="378"/>
      <c r="P27" s="378"/>
      <c r="Q27" s="378"/>
      <c r="R27" s="75"/>
      <c r="S27" s="75"/>
    </row>
    <row r="28" spans="1:19" s="47" customFormat="1" ht="20.399999999999999" x14ac:dyDescent="0.3">
      <c r="A28" s="385" t="s">
        <v>561</v>
      </c>
      <c r="B28" s="378" t="s">
        <v>600</v>
      </c>
      <c r="C28" s="378" t="s">
        <v>15</v>
      </c>
      <c r="D28" s="378" t="s">
        <v>17</v>
      </c>
      <c r="E28" s="378" t="s">
        <v>99</v>
      </c>
      <c r="F28" s="378" t="s">
        <v>61</v>
      </c>
      <c r="G28" s="378" t="s">
        <v>62</v>
      </c>
      <c r="H28" s="378" t="s">
        <v>63</v>
      </c>
      <c r="I28" s="378" t="s">
        <v>64</v>
      </c>
      <c r="J28" s="378" t="s">
        <v>65</v>
      </c>
      <c r="K28" s="378" t="s">
        <v>66</v>
      </c>
      <c r="L28" s="378" t="s">
        <v>67</v>
      </c>
      <c r="M28" s="378" t="s">
        <v>68</v>
      </c>
      <c r="N28" s="381"/>
      <c r="O28" s="381"/>
      <c r="P28" s="381"/>
      <c r="Q28" s="381"/>
      <c r="R28" s="75"/>
      <c r="S28" s="75"/>
    </row>
    <row r="29" spans="1:19" s="47" customFormat="1" ht="20.399999999999999" x14ac:dyDescent="0.2">
      <c r="A29" s="378" t="s">
        <v>56</v>
      </c>
      <c r="B29" s="378" t="s">
        <v>600</v>
      </c>
      <c r="C29" s="378" t="s">
        <v>15</v>
      </c>
      <c r="D29" s="378" t="s">
        <v>115</v>
      </c>
      <c r="E29" s="378" t="s">
        <v>169</v>
      </c>
      <c r="F29" s="378" t="s">
        <v>34</v>
      </c>
      <c r="G29" s="385" t="s">
        <v>61</v>
      </c>
      <c r="H29" s="385" t="s">
        <v>62</v>
      </c>
      <c r="I29" s="385" t="s">
        <v>63</v>
      </c>
      <c r="J29" s="385" t="s">
        <v>64</v>
      </c>
      <c r="K29" s="385" t="s">
        <v>65</v>
      </c>
      <c r="L29" s="385" t="s">
        <v>66</v>
      </c>
      <c r="M29" s="385" t="s">
        <v>67</v>
      </c>
      <c r="N29" s="385" t="s">
        <v>68</v>
      </c>
      <c r="O29" s="385" t="s">
        <v>19</v>
      </c>
      <c r="P29" s="378"/>
      <c r="Q29" s="378"/>
      <c r="R29" s="75"/>
      <c r="S29" s="75"/>
    </row>
    <row r="30" spans="1:19" s="47" customFormat="1" ht="20.399999999999999" x14ac:dyDescent="0.2">
      <c r="A30" s="378" t="s">
        <v>56</v>
      </c>
      <c r="B30" s="378" t="s">
        <v>599</v>
      </c>
      <c r="C30" s="378" t="s">
        <v>15</v>
      </c>
      <c r="D30" s="378" t="s">
        <v>115</v>
      </c>
      <c r="E30" s="378" t="s">
        <v>169</v>
      </c>
      <c r="F30" s="378" t="s">
        <v>34</v>
      </c>
      <c r="G30" s="378"/>
      <c r="H30" s="378"/>
      <c r="I30" s="378"/>
      <c r="J30" s="378"/>
      <c r="K30" s="378"/>
      <c r="L30" s="378"/>
      <c r="M30" s="378"/>
      <c r="N30" s="378"/>
      <c r="O30" s="378"/>
      <c r="P30" s="378"/>
      <c r="Q30" s="378"/>
      <c r="R30" s="75"/>
      <c r="S30" s="75"/>
    </row>
    <row r="31" spans="1:19" s="47" customFormat="1" ht="20.399999999999999" x14ac:dyDescent="0.2">
      <c r="A31" s="378" t="s">
        <v>55</v>
      </c>
      <c r="B31" s="378" t="s">
        <v>600</v>
      </c>
      <c r="C31" s="378" t="s">
        <v>15</v>
      </c>
      <c r="D31" s="378" t="s">
        <v>115</v>
      </c>
      <c r="E31" s="378" t="s">
        <v>169</v>
      </c>
      <c r="F31" s="378" t="s">
        <v>32</v>
      </c>
      <c r="G31" s="385" t="s">
        <v>61</v>
      </c>
      <c r="H31" s="385" t="s">
        <v>62</v>
      </c>
      <c r="I31" s="385" t="s">
        <v>63</v>
      </c>
      <c r="J31" s="385" t="s">
        <v>64</v>
      </c>
      <c r="K31" s="385" t="s">
        <v>65</v>
      </c>
      <c r="L31" s="385" t="s">
        <v>66</v>
      </c>
      <c r="M31" s="385" t="s">
        <v>67</v>
      </c>
      <c r="N31" s="385" t="s">
        <v>68</v>
      </c>
      <c r="O31" s="385" t="s">
        <v>19</v>
      </c>
      <c r="P31" s="378"/>
      <c r="Q31" s="378"/>
      <c r="R31" s="75"/>
      <c r="S31" s="75"/>
    </row>
    <row r="32" spans="1:19" s="47" customFormat="1" ht="20.399999999999999" x14ac:dyDescent="0.2">
      <c r="A32" s="378" t="s">
        <v>55</v>
      </c>
      <c r="B32" s="378" t="s">
        <v>599</v>
      </c>
      <c r="C32" s="378" t="s">
        <v>15</v>
      </c>
      <c r="D32" s="378" t="s">
        <v>115</v>
      </c>
      <c r="E32" s="378" t="s">
        <v>169</v>
      </c>
      <c r="F32" s="378" t="s">
        <v>32</v>
      </c>
      <c r="G32" s="378"/>
      <c r="H32" s="378"/>
      <c r="I32" s="378"/>
      <c r="J32" s="378"/>
      <c r="K32" s="378"/>
      <c r="L32" s="378"/>
      <c r="M32" s="378"/>
      <c r="N32" s="378"/>
      <c r="O32" s="378"/>
      <c r="P32" s="378"/>
      <c r="Q32" s="378"/>
      <c r="R32" s="75"/>
      <c r="S32" s="75"/>
    </row>
    <row r="33" spans="1:38" s="47" customFormat="1" ht="20.399999999999999" x14ac:dyDescent="0.2">
      <c r="A33" s="378" t="s">
        <v>58</v>
      </c>
      <c r="B33" s="378" t="s">
        <v>600</v>
      </c>
      <c r="C33" s="378" t="s">
        <v>15</v>
      </c>
      <c r="D33" s="378" t="s">
        <v>115</v>
      </c>
      <c r="E33" s="378" t="s">
        <v>168</v>
      </c>
      <c r="F33" s="378" t="s">
        <v>32</v>
      </c>
      <c r="G33" s="385" t="s">
        <v>61</v>
      </c>
      <c r="H33" s="385" t="s">
        <v>62</v>
      </c>
      <c r="I33" s="385" t="s">
        <v>63</v>
      </c>
      <c r="J33" s="385" t="s">
        <v>64</v>
      </c>
      <c r="K33" s="385" t="s">
        <v>65</v>
      </c>
      <c r="L33" s="385" t="s">
        <v>66</v>
      </c>
      <c r="M33" s="385" t="s">
        <v>67</v>
      </c>
      <c r="N33" s="385" t="s">
        <v>68</v>
      </c>
      <c r="O33" s="385" t="s">
        <v>19</v>
      </c>
      <c r="P33" s="378"/>
      <c r="Q33" s="378"/>
      <c r="R33" s="75"/>
      <c r="S33" s="75"/>
    </row>
    <row r="34" spans="1:38" s="47" customFormat="1" ht="20.399999999999999" x14ac:dyDescent="0.2">
      <c r="A34" s="379" t="s">
        <v>58</v>
      </c>
      <c r="B34" s="378" t="s">
        <v>599</v>
      </c>
      <c r="C34" s="378" t="s">
        <v>15</v>
      </c>
      <c r="D34" s="378" t="s">
        <v>115</v>
      </c>
      <c r="E34" s="378" t="s">
        <v>168</v>
      </c>
      <c r="F34" s="378" t="s">
        <v>32</v>
      </c>
      <c r="G34" s="378"/>
      <c r="H34" s="378"/>
      <c r="I34" s="378"/>
      <c r="J34" s="378"/>
      <c r="K34" s="378"/>
      <c r="L34" s="378"/>
      <c r="M34" s="378"/>
      <c r="N34" s="378"/>
      <c r="O34" s="378"/>
      <c r="P34" s="378"/>
      <c r="Q34" s="380"/>
      <c r="R34" s="75"/>
      <c r="S34" s="75"/>
    </row>
    <row r="35" spans="1:38" s="47" customFormat="1" ht="20.399999999999999" x14ac:dyDescent="0.2">
      <c r="A35" s="379" t="s">
        <v>57</v>
      </c>
      <c r="B35" s="378" t="s">
        <v>600</v>
      </c>
      <c r="C35" s="378" t="s">
        <v>15</v>
      </c>
      <c r="D35" s="378" t="s">
        <v>115</v>
      </c>
      <c r="E35" s="378" t="s">
        <v>168</v>
      </c>
      <c r="F35" s="378" t="s">
        <v>34</v>
      </c>
      <c r="G35" s="385" t="s">
        <v>61</v>
      </c>
      <c r="H35" s="385" t="s">
        <v>62</v>
      </c>
      <c r="I35" s="385" t="s">
        <v>63</v>
      </c>
      <c r="J35" s="385" t="s">
        <v>64</v>
      </c>
      <c r="K35" s="385" t="s">
        <v>65</v>
      </c>
      <c r="L35" s="385" t="s">
        <v>66</v>
      </c>
      <c r="M35" s="385" t="s">
        <v>67</v>
      </c>
      <c r="N35" s="385" t="s">
        <v>68</v>
      </c>
      <c r="O35" s="385" t="s">
        <v>19</v>
      </c>
      <c r="P35" s="378"/>
      <c r="Q35" s="380"/>
      <c r="R35" s="75"/>
      <c r="S35" s="75"/>
    </row>
    <row r="36" spans="1:38" s="47" customFormat="1" ht="20.399999999999999" x14ac:dyDescent="0.2">
      <c r="A36" s="379" t="s">
        <v>57</v>
      </c>
      <c r="B36" s="378" t="s">
        <v>599</v>
      </c>
      <c r="C36" s="378" t="s">
        <v>15</v>
      </c>
      <c r="D36" s="378" t="s">
        <v>115</v>
      </c>
      <c r="E36" s="378" t="s">
        <v>168</v>
      </c>
      <c r="F36" s="378" t="s">
        <v>34</v>
      </c>
      <c r="G36" s="378"/>
      <c r="H36" s="378"/>
      <c r="I36" s="378"/>
      <c r="J36" s="378"/>
      <c r="K36" s="378"/>
      <c r="L36" s="378"/>
      <c r="M36" s="378"/>
      <c r="N36" s="378"/>
      <c r="O36" s="378"/>
      <c r="P36" s="378"/>
      <c r="Q36" s="380"/>
      <c r="R36" s="75"/>
      <c r="S36" s="75"/>
    </row>
    <row r="37" spans="1:38" s="47" customFormat="1" ht="20.399999999999999" x14ac:dyDescent="0.2">
      <c r="A37" s="378" t="s">
        <v>424</v>
      </c>
      <c r="B37" s="378" t="s">
        <v>600</v>
      </c>
      <c r="C37" s="378" t="s">
        <v>15</v>
      </c>
      <c r="D37" s="378" t="s">
        <v>34</v>
      </c>
      <c r="E37" s="378" t="s">
        <v>417</v>
      </c>
      <c r="F37" s="385" t="s">
        <v>61</v>
      </c>
      <c r="G37" s="385" t="s">
        <v>62</v>
      </c>
      <c r="H37" s="385" t="s">
        <v>63</v>
      </c>
      <c r="I37" s="385" t="s">
        <v>64</v>
      </c>
      <c r="J37" s="385" t="s">
        <v>65</v>
      </c>
      <c r="K37" s="385" t="s">
        <v>66</v>
      </c>
      <c r="L37" s="385" t="s">
        <v>67</v>
      </c>
      <c r="M37" s="385" t="s">
        <v>68</v>
      </c>
      <c r="N37" s="385" t="s">
        <v>19</v>
      </c>
      <c r="O37" s="378"/>
      <c r="P37" s="378"/>
      <c r="Q37" s="378"/>
      <c r="R37" s="75"/>
      <c r="S37" s="75"/>
    </row>
    <row r="38" spans="1:38" s="47" customFormat="1" ht="20.399999999999999" x14ac:dyDescent="0.2">
      <c r="A38" s="378" t="s">
        <v>424</v>
      </c>
      <c r="B38" s="378" t="s">
        <v>599</v>
      </c>
      <c r="C38" s="378" t="s">
        <v>15</v>
      </c>
      <c r="D38" s="378" t="s">
        <v>34</v>
      </c>
      <c r="E38" s="378" t="s">
        <v>417</v>
      </c>
      <c r="F38" s="378"/>
      <c r="G38" s="378"/>
      <c r="H38" s="378"/>
      <c r="I38" s="378"/>
      <c r="J38" s="378"/>
      <c r="K38" s="378"/>
      <c r="L38" s="378"/>
      <c r="M38" s="378"/>
      <c r="N38" s="378"/>
      <c r="O38" s="378"/>
      <c r="P38" s="378"/>
      <c r="Q38" s="378"/>
      <c r="R38" s="75"/>
      <c r="S38" s="75"/>
    </row>
    <row r="39" spans="1:38" s="47" customFormat="1" ht="20.399999999999999" x14ac:dyDescent="0.2">
      <c r="A39" s="378" t="s">
        <v>3</v>
      </c>
      <c r="B39" s="378" t="s">
        <v>600</v>
      </c>
      <c r="C39" s="378" t="s">
        <v>15</v>
      </c>
      <c r="D39" s="378" t="s">
        <v>27</v>
      </c>
      <c r="E39" s="378" t="s">
        <v>95</v>
      </c>
      <c r="F39" s="378" t="s">
        <v>73</v>
      </c>
      <c r="G39" s="378" t="s">
        <v>113</v>
      </c>
      <c r="H39" s="378" t="s">
        <v>17</v>
      </c>
      <c r="I39" s="385" t="s">
        <v>549</v>
      </c>
      <c r="J39" s="385" t="s">
        <v>550</v>
      </c>
      <c r="K39" s="385" t="s">
        <v>551</v>
      </c>
      <c r="L39" s="385" t="s">
        <v>552</v>
      </c>
      <c r="M39" s="385" t="s">
        <v>553</v>
      </c>
      <c r="N39" s="385" t="s">
        <v>72</v>
      </c>
      <c r="O39" s="385" t="s">
        <v>61</v>
      </c>
      <c r="P39" s="385" t="s">
        <v>62</v>
      </c>
      <c r="Q39" s="385" t="s">
        <v>63</v>
      </c>
      <c r="R39" s="387" t="s">
        <v>64</v>
      </c>
      <c r="S39" s="387" t="s">
        <v>65</v>
      </c>
      <c r="T39" s="387" t="s">
        <v>66</v>
      </c>
      <c r="U39" s="387" t="s">
        <v>67</v>
      </c>
      <c r="V39" s="387" t="s">
        <v>68</v>
      </c>
      <c r="W39" s="387" t="s">
        <v>554</v>
      </c>
      <c r="X39" s="387" t="s">
        <v>273</v>
      </c>
      <c r="Y39" s="387" t="s">
        <v>283</v>
      </c>
      <c r="Z39" s="387" t="s">
        <v>69</v>
      </c>
      <c r="AA39" s="387" t="s">
        <v>284</v>
      </c>
      <c r="AB39" s="387" t="s">
        <v>274</v>
      </c>
      <c r="AC39" s="387" t="s">
        <v>285</v>
      </c>
      <c r="AD39" s="387" t="s">
        <v>275</v>
      </c>
      <c r="AE39" s="387" t="s">
        <v>120</v>
      </c>
      <c r="AF39" s="387" t="s">
        <v>555</v>
      </c>
      <c r="AG39" s="387" t="s">
        <v>556</v>
      </c>
      <c r="AH39" s="387" t="s">
        <v>121</v>
      </c>
      <c r="AI39" s="387" t="s">
        <v>122</v>
      </c>
      <c r="AJ39" s="387" t="s">
        <v>557</v>
      </c>
      <c r="AK39" s="387" t="s">
        <v>558</v>
      </c>
      <c r="AL39" s="387" t="s">
        <v>19</v>
      </c>
    </row>
    <row r="40" spans="1:38" s="47" customFormat="1" ht="20.399999999999999" x14ac:dyDescent="0.2">
      <c r="A40" s="378" t="s">
        <v>3</v>
      </c>
      <c r="B40" s="378" t="s">
        <v>599</v>
      </c>
      <c r="C40" s="378" t="s">
        <v>15</v>
      </c>
      <c r="D40" s="378" t="s">
        <v>27</v>
      </c>
      <c r="E40" s="378" t="s">
        <v>95</v>
      </c>
      <c r="F40" s="378" t="s">
        <v>73</v>
      </c>
      <c r="G40" s="378" t="s">
        <v>113</v>
      </c>
      <c r="H40" s="378" t="s">
        <v>17</v>
      </c>
      <c r="I40" s="378"/>
      <c r="J40" s="378"/>
      <c r="K40" s="378"/>
      <c r="L40" s="378"/>
      <c r="M40" s="378"/>
      <c r="N40" s="378"/>
      <c r="O40" s="378"/>
      <c r="P40" s="378"/>
      <c r="Q40" s="378"/>
      <c r="R40" s="75"/>
      <c r="S40" s="75"/>
    </row>
    <row r="41" spans="1:38" s="47" customFormat="1" ht="20.399999999999999" x14ac:dyDescent="0.2">
      <c r="A41" s="378" t="s">
        <v>409</v>
      </c>
      <c r="B41" s="378" t="s">
        <v>600</v>
      </c>
      <c r="C41" s="378" t="s">
        <v>15</v>
      </c>
      <c r="D41" s="378" t="s">
        <v>27</v>
      </c>
      <c r="E41" s="378" t="s">
        <v>120</v>
      </c>
      <c r="F41" s="378" t="s">
        <v>121</v>
      </c>
      <c r="G41" s="378" t="s">
        <v>122</v>
      </c>
      <c r="H41" s="378" t="s">
        <v>279</v>
      </c>
      <c r="I41" s="378" t="s">
        <v>280</v>
      </c>
      <c r="J41" s="378" t="s">
        <v>126</v>
      </c>
      <c r="K41" s="385" t="s">
        <v>545</v>
      </c>
      <c r="L41" s="385" t="s">
        <v>61</v>
      </c>
      <c r="M41" s="385" t="s">
        <v>62</v>
      </c>
      <c r="N41" s="385" t="s">
        <v>63</v>
      </c>
      <c r="O41" s="385" t="s">
        <v>64</v>
      </c>
      <c r="P41" s="385" t="s">
        <v>65</v>
      </c>
      <c r="Q41" s="385" t="s">
        <v>66</v>
      </c>
      <c r="R41" s="387" t="s">
        <v>67</v>
      </c>
      <c r="S41" s="387" t="s">
        <v>68</v>
      </c>
      <c r="T41" s="387" t="s">
        <v>19</v>
      </c>
    </row>
    <row r="42" spans="1:38" s="47" customFormat="1" ht="20.399999999999999" x14ac:dyDescent="0.2">
      <c r="A42" s="378" t="s">
        <v>409</v>
      </c>
      <c r="B42" s="378" t="s">
        <v>599</v>
      </c>
      <c r="C42" s="378" t="s">
        <v>15</v>
      </c>
      <c r="D42" s="378" t="s">
        <v>27</v>
      </c>
      <c r="E42" s="378" t="s">
        <v>120</v>
      </c>
      <c r="F42" s="378" t="s">
        <v>121</v>
      </c>
      <c r="G42" s="378" t="s">
        <v>122</v>
      </c>
      <c r="H42" s="378" t="s">
        <v>279</v>
      </c>
      <c r="I42" s="378" t="s">
        <v>280</v>
      </c>
      <c r="J42" s="378" t="s">
        <v>126</v>
      </c>
      <c r="K42" s="378"/>
      <c r="L42" s="378"/>
      <c r="M42" s="378"/>
      <c r="N42" s="378"/>
      <c r="O42" s="378"/>
      <c r="P42" s="378"/>
      <c r="Q42" s="378"/>
      <c r="R42" s="75"/>
      <c r="S42" s="75"/>
    </row>
    <row r="43" spans="1:38" s="47" customFormat="1" ht="10.199999999999999" x14ac:dyDescent="0.2">
      <c r="A43" s="384" t="s">
        <v>28</v>
      </c>
      <c r="B43" s="378" t="s">
        <v>599</v>
      </c>
      <c r="C43" s="378" t="s">
        <v>15</v>
      </c>
      <c r="D43" s="378" t="s">
        <v>120</v>
      </c>
      <c r="E43" s="378" t="s">
        <v>121</v>
      </c>
      <c r="F43" s="378" t="s">
        <v>122</v>
      </c>
      <c r="G43" s="378" t="s">
        <v>95</v>
      </c>
      <c r="H43" s="378" t="s">
        <v>73</v>
      </c>
      <c r="I43" s="378"/>
      <c r="J43" s="378"/>
      <c r="K43" s="378"/>
      <c r="L43" s="378"/>
      <c r="M43" s="378"/>
      <c r="N43" s="378"/>
      <c r="O43" s="378"/>
      <c r="P43" s="378"/>
      <c r="Q43" s="378"/>
      <c r="R43" s="75"/>
      <c r="S43" s="75"/>
    </row>
    <row r="44" spans="1:38" s="47" customFormat="1" ht="20.399999999999999" x14ac:dyDescent="0.2">
      <c r="A44" s="378" t="s">
        <v>44</v>
      </c>
      <c r="B44" s="378" t="s">
        <v>600</v>
      </c>
      <c r="C44" s="378" t="s">
        <v>15</v>
      </c>
      <c r="D44" s="378" t="s">
        <v>60</v>
      </c>
      <c r="E44" s="378" t="s">
        <v>65</v>
      </c>
      <c r="F44" s="378" t="s">
        <v>438</v>
      </c>
      <c r="G44" s="378" t="s">
        <v>61</v>
      </c>
      <c r="H44" s="385" t="s">
        <v>601</v>
      </c>
      <c r="I44" s="378"/>
      <c r="J44" s="378"/>
      <c r="K44" s="378"/>
      <c r="L44" s="378"/>
      <c r="M44" s="378"/>
      <c r="N44" s="378"/>
      <c r="O44" s="378"/>
      <c r="P44" s="378"/>
      <c r="Q44" s="378"/>
      <c r="R44" s="75"/>
      <c r="S44" s="75"/>
    </row>
    <row r="45" spans="1:38" s="47" customFormat="1" ht="20.399999999999999" x14ac:dyDescent="0.2">
      <c r="A45" s="378" t="s">
        <v>44</v>
      </c>
      <c r="B45" s="378" t="s">
        <v>599</v>
      </c>
      <c r="C45" s="378" t="s">
        <v>15</v>
      </c>
      <c r="D45" s="378" t="s">
        <v>60</v>
      </c>
      <c r="E45" s="378" t="s">
        <v>65</v>
      </c>
      <c r="F45" s="378" t="s">
        <v>438</v>
      </c>
      <c r="G45" s="378" t="s">
        <v>61</v>
      </c>
      <c r="H45" s="378"/>
      <c r="I45" s="378"/>
      <c r="J45" s="378"/>
      <c r="K45" s="378"/>
      <c r="L45" s="378"/>
      <c r="M45" s="378"/>
      <c r="N45" s="378"/>
      <c r="O45" s="378"/>
      <c r="P45" s="378"/>
      <c r="Q45" s="378"/>
      <c r="R45" s="75"/>
      <c r="S45" s="75"/>
    </row>
    <row r="46" spans="1:38" s="47" customFormat="1" ht="20.399999999999999" x14ac:dyDescent="0.2">
      <c r="A46" s="385" t="s">
        <v>562</v>
      </c>
      <c r="B46" s="378" t="s">
        <v>600</v>
      </c>
      <c r="C46" s="378" t="s">
        <v>15</v>
      </c>
      <c r="D46" s="378" t="s">
        <v>563</v>
      </c>
      <c r="E46" s="378" t="s">
        <v>522</v>
      </c>
      <c r="F46" s="378"/>
      <c r="G46" s="378"/>
      <c r="H46" s="378"/>
      <c r="I46" s="378"/>
      <c r="J46" s="378"/>
      <c r="K46" s="378"/>
      <c r="L46" s="378"/>
      <c r="M46" s="378"/>
      <c r="N46" s="378"/>
      <c r="O46" s="378"/>
      <c r="P46" s="378"/>
      <c r="Q46" s="378"/>
      <c r="R46" s="75"/>
      <c r="S46" s="75"/>
    </row>
    <row r="47" spans="1:38" s="47" customFormat="1" ht="30.6" x14ac:dyDescent="0.2">
      <c r="A47" s="378" t="s">
        <v>4</v>
      </c>
      <c r="B47" s="378" t="s">
        <v>600</v>
      </c>
      <c r="C47" s="378" t="s">
        <v>15</v>
      </c>
      <c r="D47" s="378" t="s">
        <v>27</v>
      </c>
      <c r="E47" s="378" t="s">
        <v>91</v>
      </c>
      <c r="F47" s="378" t="s">
        <v>116</v>
      </c>
      <c r="G47" s="378" t="s">
        <v>117</v>
      </c>
      <c r="H47" s="378" t="s">
        <v>119</v>
      </c>
      <c r="I47" s="378" t="s">
        <v>276</v>
      </c>
      <c r="J47" s="378" t="s">
        <v>416</v>
      </c>
      <c r="K47" s="378" t="s">
        <v>417</v>
      </c>
      <c r="L47" s="385" t="s">
        <v>61</v>
      </c>
      <c r="M47" s="385" t="s">
        <v>62</v>
      </c>
      <c r="N47" s="385" t="s">
        <v>63</v>
      </c>
      <c r="O47" s="385" t="s">
        <v>64</v>
      </c>
      <c r="P47" s="385" t="s">
        <v>65</v>
      </c>
      <c r="Q47" s="385" t="s">
        <v>66</v>
      </c>
      <c r="R47" s="387" t="s">
        <v>67</v>
      </c>
      <c r="S47" s="387" t="s">
        <v>68</v>
      </c>
      <c r="T47" s="387" t="s">
        <v>542</v>
      </c>
      <c r="U47" s="387" t="s">
        <v>543</v>
      </c>
      <c r="V47" s="387" t="s">
        <v>120</v>
      </c>
      <c r="W47" s="387" t="s">
        <v>544</v>
      </c>
      <c r="X47" s="387" t="s">
        <v>121</v>
      </c>
      <c r="Y47" s="387" t="s">
        <v>122</v>
      </c>
      <c r="Z47" s="387" t="s">
        <v>545</v>
      </c>
      <c r="AA47" s="387" t="s">
        <v>38</v>
      </c>
      <c r="AB47" s="387" t="s">
        <v>546</v>
      </c>
      <c r="AC47" s="387" t="s">
        <v>73</v>
      </c>
      <c r="AD47" s="387" t="s">
        <v>95</v>
      </c>
      <c r="AE47" s="387" t="s">
        <v>19</v>
      </c>
    </row>
    <row r="48" spans="1:38" s="47" customFormat="1" ht="30.6" x14ac:dyDescent="0.2">
      <c r="A48" s="378" t="s">
        <v>4</v>
      </c>
      <c r="B48" s="378" t="s">
        <v>599</v>
      </c>
      <c r="C48" s="378" t="s">
        <v>15</v>
      </c>
      <c r="D48" s="378" t="s">
        <v>27</v>
      </c>
      <c r="E48" s="378" t="s">
        <v>91</v>
      </c>
      <c r="F48" s="378" t="s">
        <v>116</v>
      </c>
      <c r="G48" s="378" t="s">
        <v>117</v>
      </c>
      <c r="H48" s="378" t="s">
        <v>119</v>
      </c>
      <c r="I48" s="378" t="s">
        <v>276</v>
      </c>
      <c r="J48" s="378" t="s">
        <v>416</v>
      </c>
      <c r="K48" s="378" t="s">
        <v>417</v>
      </c>
      <c r="L48" s="378"/>
      <c r="M48" s="378"/>
      <c r="N48" s="378"/>
      <c r="O48" s="378"/>
      <c r="P48" s="378"/>
      <c r="Q48" s="378"/>
      <c r="R48" s="75"/>
      <c r="S48" s="75"/>
    </row>
    <row r="49" spans="1:31" s="47" customFormat="1" ht="20.399999999999999" x14ac:dyDescent="0.2">
      <c r="A49" s="378" t="s">
        <v>10</v>
      </c>
      <c r="B49" s="378" t="s">
        <v>600</v>
      </c>
      <c r="C49" s="378" t="s">
        <v>15</v>
      </c>
      <c r="D49" s="378" t="s">
        <v>149</v>
      </c>
      <c r="E49" s="378" t="s">
        <v>150</v>
      </c>
      <c r="F49" s="378" t="s">
        <v>151</v>
      </c>
      <c r="G49" s="378" t="s">
        <v>152</v>
      </c>
      <c r="H49" s="378" t="s">
        <v>116</v>
      </c>
      <c r="I49" s="378" t="s">
        <v>153</v>
      </c>
      <c r="J49" s="378" t="s">
        <v>154</v>
      </c>
      <c r="K49" s="385" t="s">
        <v>559</v>
      </c>
      <c r="L49" s="385" t="s">
        <v>560</v>
      </c>
      <c r="M49" s="385" t="s">
        <v>61</v>
      </c>
      <c r="N49" s="385" t="s">
        <v>62</v>
      </c>
      <c r="O49" s="385" t="s">
        <v>63</v>
      </c>
      <c r="P49" s="385" t="s">
        <v>64</v>
      </c>
      <c r="Q49" s="385" t="s">
        <v>65</v>
      </c>
      <c r="R49" s="387" t="s">
        <v>66</v>
      </c>
      <c r="S49" s="387" t="s">
        <v>67</v>
      </c>
      <c r="T49" s="387" t="s">
        <v>68</v>
      </c>
      <c r="U49" s="387" t="s">
        <v>19</v>
      </c>
      <c r="V49" s="387" t="s">
        <v>36</v>
      </c>
      <c r="W49" s="387" t="s">
        <v>32</v>
      </c>
      <c r="X49" s="387" t="s">
        <v>444</v>
      </c>
      <c r="Y49" s="387" t="s">
        <v>558</v>
      </c>
      <c r="Z49" s="387" t="s">
        <v>38</v>
      </c>
      <c r="AA49" s="387" t="s">
        <v>543</v>
      </c>
      <c r="AB49" s="387" t="s">
        <v>546</v>
      </c>
      <c r="AC49" s="387" t="s">
        <v>545</v>
      </c>
      <c r="AD49" s="387" t="s">
        <v>417</v>
      </c>
      <c r="AE49" s="387" t="s">
        <v>416</v>
      </c>
    </row>
    <row r="50" spans="1:31" s="47" customFormat="1" ht="20.399999999999999" x14ac:dyDescent="0.2">
      <c r="A50" s="378" t="s">
        <v>10</v>
      </c>
      <c r="B50" s="378" t="s">
        <v>599</v>
      </c>
      <c r="C50" s="378" t="s">
        <v>15</v>
      </c>
      <c r="D50" s="378" t="s">
        <v>149</v>
      </c>
      <c r="E50" s="378" t="s">
        <v>150</v>
      </c>
      <c r="F50" s="378" t="s">
        <v>151</v>
      </c>
      <c r="G50" s="378" t="s">
        <v>152</v>
      </c>
      <c r="H50" s="378" t="s">
        <v>116</v>
      </c>
      <c r="I50" s="378" t="s">
        <v>153</v>
      </c>
      <c r="J50" s="378" t="s">
        <v>154</v>
      </c>
      <c r="K50" s="384" t="s">
        <v>36</v>
      </c>
      <c r="L50" s="378"/>
      <c r="M50" s="378"/>
      <c r="N50" s="378"/>
      <c r="O50" s="378"/>
      <c r="P50" s="378"/>
      <c r="Q50" s="378"/>
      <c r="R50" s="75"/>
      <c r="S50" s="75"/>
    </row>
    <row r="51" spans="1:31" s="47" customFormat="1" ht="20.399999999999999" x14ac:dyDescent="0.2">
      <c r="A51" s="384" t="s">
        <v>18</v>
      </c>
      <c r="B51" s="378" t="s">
        <v>599</v>
      </c>
      <c r="C51" s="378" t="s">
        <v>15</v>
      </c>
      <c r="D51" s="378" t="s">
        <v>61</v>
      </c>
      <c r="E51" s="378" t="s">
        <v>62</v>
      </c>
      <c r="F51" s="378" t="s">
        <v>63</v>
      </c>
      <c r="G51" s="378" t="s">
        <v>64</v>
      </c>
      <c r="H51" s="378" t="s">
        <v>65</v>
      </c>
      <c r="I51" s="378" t="s">
        <v>66</v>
      </c>
      <c r="J51" s="378" t="s">
        <v>67</v>
      </c>
      <c r="K51" s="378" t="s">
        <v>68</v>
      </c>
      <c r="L51" s="378" t="s">
        <v>19</v>
      </c>
      <c r="M51" s="378"/>
      <c r="N51" s="378"/>
      <c r="O51" s="378"/>
      <c r="P51" s="378"/>
      <c r="Q51" s="378"/>
      <c r="R51" s="75"/>
      <c r="S51" s="75"/>
    </row>
    <row r="52" spans="1:31" s="47" customFormat="1" ht="20.399999999999999" x14ac:dyDescent="0.2">
      <c r="A52" s="384" t="s">
        <v>281</v>
      </c>
      <c r="B52" s="378" t="s">
        <v>599</v>
      </c>
      <c r="C52" s="378" t="s">
        <v>15</v>
      </c>
      <c r="D52" s="378" t="s">
        <v>69</v>
      </c>
      <c r="E52" s="378" t="s">
        <v>273</v>
      </c>
      <c r="F52" s="378" t="s">
        <v>283</v>
      </c>
      <c r="G52" s="378" t="s">
        <v>284</v>
      </c>
      <c r="H52" s="378" t="s">
        <v>285</v>
      </c>
      <c r="I52" s="378" t="s">
        <v>274</v>
      </c>
      <c r="J52" s="378" t="s">
        <v>275</v>
      </c>
      <c r="K52" s="378"/>
      <c r="L52" s="378"/>
      <c r="M52" s="378"/>
      <c r="N52" s="378"/>
      <c r="O52" s="378"/>
      <c r="P52" s="378"/>
      <c r="Q52" s="378"/>
      <c r="R52" s="75"/>
      <c r="S52" s="75"/>
    </row>
    <row r="53" spans="1:31" s="47" customFormat="1" ht="20.399999999999999" x14ac:dyDescent="0.2">
      <c r="A53" s="388" t="s">
        <v>286</v>
      </c>
      <c r="B53" s="378" t="s">
        <v>599</v>
      </c>
      <c r="C53" s="378" t="s">
        <v>15</v>
      </c>
      <c r="D53" s="378" t="s">
        <v>287</v>
      </c>
      <c r="E53" s="378" t="s">
        <v>288</v>
      </c>
      <c r="F53" s="378" t="s">
        <v>289</v>
      </c>
      <c r="G53" s="378" t="s">
        <v>290</v>
      </c>
      <c r="H53" s="378" t="s">
        <v>291</v>
      </c>
      <c r="I53" s="378" t="s">
        <v>292</v>
      </c>
      <c r="J53" s="378"/>
      <c r="K53" s="378"/>
      <c r="L53" s="378"/>
      <c r="M53" s="378"/>
      <c r="N53" s="378"/>
      <c r="O53" s="378"/>
      <c r="P53" s="378"/>
      <c r="Q53" s="380"/>
      <c r="R53" s="75"/>
      <c r="S53" s="75"/>
    </row>
    <row r="54" spans="1:31" s="47" customFormat="1" ht="20.399999999999999" x14ac:dyDescent="0.2">
      <c r="A54" s="384" t="s">
        <v>6</v>
      </c>
      <c r="B54" s="378" t="s">
        <v>599</v>
      </c>
      <c r="C54" s="378" t="s">
        <v>15</v>
      </c>
      <c r="D54" s="378" t="s">
        <v>120</v>
      </c>
      <c r="E54" s="378" t="s">
        <v>121</v>
      </c>
      <c r="F54" s="378" t="s">
        <v>122</v>
      </c>
      <c r="G54" s="378" t="s">
        <v>69</v>
      </c>
      <c r="H54" s="378" t="s">
        <v>161</v>
      </c>
      <c r="I54" s="378"/>
      <c r="J54" s="378"/>
      <c r="K54" s="378"/>
      <c r="L54" s="378"/>
      <c r="M54" s="378"/>
      <c r="N54" s="378"/>
      <c r="O54" s="378"/>
      <c r="P54" s="378"/>
      <c r="Q54" s="378"/>
      <c r="R54" s="75"/>
      <c r="S54" s="75"/>
    </row>
    <row r="55" spans="1:31" s="47" customFormat="1" ht="20.399999999999999" x14ac:dyDescent="0.2">
      <c r="A55" s="378" t="s">
        <v>0</v>
      </c>
      <c r="B55" s="378" t="s">
        <v>600</v>
      </c>
      <c r="C55" s="378" t="s">
        <v>15</v>
      </c>
      <c r="D55" s="378" t="s">
        <v>410</v>
      </c>
      <c r="E55" s="378" t="s">
        <v>76</v>
      </c>
      <c r="F55" s="378" t="s">
        <v>77</v>
      </c>
      <c r="G55" s="378" t="s">
        <v>78</v>
      </c>
      <c r="H55" s="378" t="s">
        <v>79</v>
      </c>
      <c r="I55" s="378" t="s">
        <v>80</v>
      </c>
      <c r="J55" s="378" t="s">
        <v>81</v>
      </c>
      <c r="K55" s="378" t="s">
        <v>82</v>
      </c>
      <c r="L55" s="378" t="s">
        <v>83</v>
      </c>
      <c r="M55" s="378" t="s">
        <v>84</v>
      </c>
      <c r="N55" s="378" t="s">
        <v>85</v>
      </c>
      <c r="O55" s="378" t="s">
        <v>86</v>
      </c>
      <c r="P55" s="378" t="s">
        <v>87</v>
      </c>
      <c r="Q55" s="378" t="s">
        <v>88</v>
      </c>
      <c r="R55" s="387" t="s">
        <v>61</v>
      </c>
      <c r="S55" s="387" t="s">
        <v>62</v>
      </c>
      <c r="T55" s="387" t="s">
        <v>63</v>
      </c>
      <c r="U55" s="387" t="s">
        <v>64</v>
      </c>
      <c r="V55" s="387" t="s">
        <v>65</v>
      </c>
      <c r="W55" s="387" t="s">
        <v>66</v>
      </c>
      <c r="X55" s="387" t="s">
        <v>67</v>
      </c>
      <c r="Y55" s="387" t="s">
        <v>68</v>
      </c>
      <c r="Z55" s="387" t="s">
        <v>19</v>
      </c>
      <c r="AA55" s="387" t="s">
        <v>603</v>
      </c>
    </row>
    <row r="56" spans="1:31" s="47" customFormat="1" ht="20.399999999999999" x14ac:dyDescent="0.2">
      <c r="A56" s="378" t="s">
        <v>0</v>
      </c>
      <c r="B56" s="378" t="s">
        <v>599</v>
      </c>
      <c r="C56" s="378" t="s">
        <v>15</v>
      </c>
      <c r="D56" s="378" t="s">
        <v>410</v>
      </c>
      <c r="E56" s="378" t="s">
        <v>76</v>
      </c>
      <c r="F56" s="378" t="s">
        <v>77</v>
      </c>
      <c r="G56" s="378" t="s">
        <v>78</v>
      </c>
      <c r="H56" s="378" t="s">
        <v>79</v>
      </c>
      <c r="I56" s="378" t="s">
        <v>80</v>
      </c>
      <c r="J56" s="378" t="s">
        <v>81</v>
      </c>
      <c r="K56" s="378" t="s">
        <v>82</v>
      </c>
      <c r="L56" s="378" t="s">
        <v>83</v>
      </c>
      <c r="M56" s="378" t="s">
        <v>84</v>
      </c>
      <c r="N56" s="378" t="s">
        <v>85</v>
      </c>
      <c r="O56" s="378" t="s">
        <v>86</v>
      </c>
      <c r="P56" s="378" t="s">
        <v>87</v>
      </c>
      <c r="Q56" s="378" t="s">
        <v>88</v>
      </c>
      <c r="R56" s="75"/>
      <c r="S56" s="75"/>
    </row>
    <row r="57" spans="1:31" s="47" customFormat="1" ht="10.199999999999999" x14ac:dyDescent="0.2">
      <c r="A57" s="384" t="s">
        <v>47</v>
      </c>
      <c r="B57" s="378" t="s">
        <v>599</v>
      </c>
      <c r="C57" s="378" t="s">
        <v>15</v>
      </c>
      <c r="D57" s="378" t="s">
        <v>130</v>
      </c>
      <c r="E57" s="378"/>
      <c r="F57" s="378"/>
      <c r="G57" s="378"/>
      <c r="H57" s="378"/>
      <c r="I57" s="378"/>
      <c r="J57" s="378"/>
      <c r="K57" s="378"/>
      <c r="L57" s="378"/>
      <c r="M57" s="378"/>
      <c r="N57" s="378"/>
      <c r="O57" s="378"/>
      <c r="P57" s="378"/>
      <c r="Q57" s="378"/>
      <c r="R57" s="75"/>
      <c r="S57" s="75"/>
    </row>
    <row r="58" spans="1:31" s="47" customFormat="1" ht="20.399999999999999" x14ac:dyDescent="0.2">
      <c r="A58" s="378" t="s">
        <v>2</v>
      </c>
      <c r="B58" s="378" t="s">
        <v>600</v>
      </c>
      <c r="C58" s="378" t="s">
        <v>15</v>
      </c>
      <c r="D58" s="378" t="s">
        <v>26</v>
      </c>
      <c r="E58" s="378" t="s">
        <v>69</v>
      </c>
      <c r="F58" s="378" t="s">
        <v>23</v>
      </c>
      <c r="G58" s="378" t="s">
        <v>70</v>
      </c>
      <c r="H58" s="378" t="s">
        <v>71</v>
      </c>
      <c r="I58" s="378" t="s">
        <v>72</v>
      </c>
      <c r="J58" s="378" t="s">
        <v>73</v>
      </c>
      <c r="K58" s="378" t="s">
        <v>74</v>
      </c>
      <c r="L58" s="378" t="s">
        <v>75</v>
      </c>
      <c r="M58" s="385" t="s">
        <v>61</v>
      </c>
      <c r="N58" s="385" t="s">
        <v>62</v>
      </c>
      <c r="O58" s="385" t="s">
        <v>63</v>
      </c>
      <c r="P58" s="385" t="s">
        <v>64</v>
      </c>
      <c r="Q58" s="385" t="s">
        <v>65</v>
      </c>
      <c r="R58" s="387" t="s">
        <v>66</v>
      </c>
      <c r="S58" s="387" t="s">
        <v>67</v>
      </c>
      <c r="T58" s="387" t="s">
        <v>68</v>
      </c>
      <c r="U58" s="387" t="s">
        <v>19</v>
      </c>
    </row>
    <row r="59" spans="1:31" s="47" customFormat="1" ht="20.399999999999999" x14ac:dyDescent="0.2">
      <c r="A59" s="378" t="s">
        <v>2</v>
      </c>
      <c r="B59" s="378" t="s">
        <v>599</v>
      </c>
      <c r="C59" s="378" t="s">
        <v>15</v>
      </c>
      <c r="D59" s="378" t="s">
        <v>26</v>
      </c>
      <c r="E59" s="378" t="s">
        <v>69</v>
      </c>
      <c r="F59" s="378" t="s">
        <v>23</v>
      </c>
      <c r="G59" s="378" t="s">
        <v>70</v>
      </c>
      <c r="H59" s="378" t="s">
        <v>71</v>
      </c>
      <c r="I59" s="378" t="s">
        <v>72</v>
      </c>
      <c r="J59" s="378" t="s">
        <v>73</v>
      </c>
      <c r="K59" s="378" t="s">
        <v>74</v>
      </c>
      <c r="L59" s="378" t="s">
        <v>75</v>
      </c>
      <c r="M59" s="378"/>
      <c r="N59" s="378"/>
      <c r="O59" s="378"/>
      <c r="P59" s="378"/>
      <c r="Q59" s="378"/>
      <c r="R59" s="75"/>
      <c r="S59" s="75"/>
    </row>
    <row r="60" spans="1:31" s="47" customFormat="1" ht="10.199999999999999" x14ac:dyDescent="0.2">
      <c r="A60" s="384" t="s">
        <v>30</v>
      </c>
      <c r="B60" s="378" t="s">
        <v>599</v>
      </c>
      <c r="C60" s="378" t="s">
        <v>15</v>
      </c>
      <c r="D60" s="378"/>
      <c r="E60" s="378"/>
      <c r="F60" s="378"/>
      <c r="G60" s="378"/>
      <c r="H60" s="378"/>
      <c r="I60" s="378"/>
      <c r="J60" s="378"/>
      <c r="K60" s="378"/>
      <c r="L60" s="378"/>
      <c r="M60" s="378"/>
      <c r="N60" s="378"/>
      <c r="O60" s="378"/>
      <c r="P60" s="378"/>
      <c r="Q60" s="378"/>
      <c r="R60" s="75"/>
      <c r="S60" s="75"/>
    </row>
    <row r="61" spans="1:31" s="47" customFormat="1" ht="20.399999999999999" x14ac:dyDescent="0.2">
      <c r="A61" s="384" t="s">
        <v>48</v>
      </c>
      <c r="B61" s="378" t="s">
        <v>599</v>
      </c>
      <c r="C61" s="378" t="s">
        <v>15</v>
      </c>
      <c r="D61" s="378" t="s">
        <v>140</v>
      </c>
      <c r="E61" s="378" t="s">
        <v>141</v>
      </c>
      <c r="F61" s="378" t="s">
        <v>142</v>
      </c>
      <c r="G61" s="378" t="s">
        <v>143</v>
      </c>
      <c r="H61" s="378" t="s">
        <v>144</v>
      </c>
      <c r="I61" s="378" t="s">
        <v>145</v>
      </c>
      <c r="J61" s="378" t="s">
        <v>146</v>
      </c>
      <c r="K61" s="378" t="s">
        <v>147</v>
      </c>
      <c r="L61" s="378" t="s">
        <v>148</v>
      </c>
      <c r="M61" s="378"/>
      <c r="N61" s="378"/>
      <c r="O61" s="378"/>
      <c r="P61" s="378"/>
      <c r="Q61" s="378"/>
      <c r="R61" s="75"/>
      <c r="S61" s="75"/>
    </row>
    <row r="62" spans="1:31" s="47" customFormat="1" ht="30.6" x14ac:dyDescent="0.2">
      <c r="A62" s="378" t="s">
        <v>431</v>
      </c>
      <c r="B62" s="378" t="s">
        <v>600</v>
      </c>
      <c r="C62" s="378" t="s">
        <v>15</v>
      </c>
      <c r="D62" s="385" t="s">
        <v>523</v>
      </c>
      <c r="E62" s="385" t="s">
        <v>61</v>
      </c>
      <c r="F62" s="385" t="s">
        <v>524</v>
      </c>
      <c r="G62" s="385" t="s">
        <v>442</v>
      </c>
      <c r="H62" s="385" t="s">
        <v>62</v>
      </c>
      <c r="I62" s="385" t="s">
        <v>525</v>
      </c>
      <c r="J62" s="385" t="s">
        <v>526</v>
      </c>
      <c r="K62" s="385" t="s">
        <v>527</v>
      </c>
      <c r="L62" s="385" t="s">
        <v>422</v>
      </c>
      <c r="M62" s="385" t="s">
        <v>95</v>
      </c>
      <c r="N62" s="385" t="s">
        <v>528</v>
      </c>
      <c r="O62" s="385" t="s">
        <v>291</v>
      </c>
      <c r="P62" s="385" t="s">
        <v>69</v>
      </c>
      <c r="Q62" s="385" t="s">
        <v>120</v>
      </c>
      <c r="R62" s="387" t="s">
        <v>161</v>
      </c>
      <c r="S62" s="387" t="s">
        <v>121</v>
      </c>
      <c r="T62" s="387" t="s">
        <v>122</v>
      </c>
      <c r="U62" s="387" t="s">
        <v>529</v>
      </c>
      <c r="V62" s="387" t="s">
        <v>530</v>
      </c>
      <c r="W62" s="387" t="s">
        <v>531</v>
      </c>
      <c r="X62" s="387" t="s">
        <v>602</v>
      </c>
    </row>
    <row r="63" spans="1:31" s="47" customFormat="1" ht="20.399999999999999" x14ac:dyDescent="0.2">
      <c r="A63" s="378" t="s">
        <v>431</v>
      </c>
      <c r="B63" s="378" t="s">
        <v>599</v>
      </c>
      <c r="C63" s="378" t="s">
        <v>15</v>
      </c>
      <c r="D63" s="384" t="s">
        <v>61</v>
      </c>
      <c r="E63" s="384" t="s">
        <v>19</v>
      </c>
      <c r="F63" s="378"/>
      <c r="G63" s="378"/>
      <c r="H63" s="378"/>
      <c r="I63" s="378"/>
      <c r="J63" s="378"/>
      <c r="K63" s="378"/>
      <c r="L63" s="378"/>
      <c r="M63" s="378"/>
      <c r="N63" s="378"/>
      <c r="O63" s="378"/>
      <c r="P63" s="378"/>
      <c r="Q63" s="378"/>
      <c r="R63" s="75"/>
      <c r="S63" s="75"/>
    </row>
    <row r="64" spans="1:31" s="47" customFormat="1" ht="20.399999999999999" x14ac:dyDescent="0.2">
      <c r="A64" s="378" t="s">
        <v>45</v>
      </c>
      <c r="B64" s="378" t="s">
        <v>600</v>
      </c>
      <c r="C64" s="378" t="s">
        <v>15</v>
      </c>
      <c r="D64" s="378" t="s">
        <v>89</v>
      </c>
      <c r="E64" s="378" t="s">
        <v>90</v>
      </c>
      <c r="F64" s="385" t="s">
        <v>61</v>
      </c>
      <c r="G64" s="385" t="s">
        <v>62</v>
      </c>
      <c r="H64" s="385" t="s">
        <v>63</v>
      </c>
      <c r="I64" s="385" t="s">
        <v>64</v>
      </c>
      <c r="J64" s="385" t="s">
        <v>65</v>
      </c>
      <c r="K64" s="385" t="s">
        <v>66</v>
      </c>
      <c r="L64" s="385" t="s">
        <v>67</v>
      </c>
      <c r="M64" s="385" t="s">
        <v>68</v>
      </c>
      <c r="N64" s="385" t="s">
        <v>19</v>
      </c>
      <c r="O64" s="378"/>
      <c r="P64" s="378"/>
      <c r="Q64" s="378"/>
      <c r="R64" s="75"/>
      <c r="S64" s="75"/>
    </row>
    <row r="65" spans="1:38" s="47" customFormat="1" ht="20.399999999999999" x14ac:dyDescent="0.3">
      <c r="A65" s="378" t="s">
        <v>45</v>
      </c>
      <c r="B65" s="378" t="s">
        <v>599</v>
      </c>
      <c r="C65" s="378" t="s">
        <v>15</v>
      </c>
      <c r="D65" s="378" t="s">
        <v>89</v>
      </c>
      <c r="E65" s="378" t="s">
        <v>90</v>
      </c>
      <c r="F65" s="378"/>
      <c r="G65" s="378"/>
      <c r="H65" s="378"/>
      <c r="I65" s="381"/>
      <c r="J65" s="381"/>
      <c r="K65" s="381"/>
      <c r="L65" s="381"/>
      <c r="M65" s="381"/>
      <c r="N65" s="381"/>
      <c r="O65" s="381"/>
      <c r="P65" s="381"/>
      <c r="Q65" s="381"/>
      <c r="R65" s="75"/>
      <c r="S65" s="75"/>
    </row>
    <row r="66" spans="1:38" s="47" customFormat="1" ht="20.399999999999999" x14ac:dyDescent="0.2">
      <c r="A66" s="385" t="s">
        <v>537</v>
      </c>
      <c r="B66" s="378" t="s">
        <v>600</v>
      </c>
      <c r="C66" s="378" t="s">
        <v>15</v>
      </c>
      <c r="D66" s="378" t="s">
        <v>35</v>
      </c>
      <c r="E66" s="378" t="s">
        <v>538</v>
      </c>
      <c r="F66" s="378" t="s">
        <v>539</v>
      </c>
      <c r="G66" s="378" t="s">
        <v>61</v>
      </c>
      <c r="H66" s="378" t="s">
        <v>62</v>
      </c>
      <c r="I66" s="378" t="s">
        <v>63</v>
      </c>
      <c r="J66" s="378" t="s">
        <v>64</v>
      </c>
      <c r="K66" s="378" t="s">
        <v>65</v>
      </c>
      <c r="L66" s="378" t="s">
        <v>66</v>
      </c>
      <c r="M66" s="378" t="s">
        <v>67</v>
      </c>
      <c r="N66" s="378" t="s">
        <v>68</v>
      </c>
      <c r="O66" s="378" t="s">
        <v>19</v>
      </c>
      <c r="P66" s="378"/>
      <c r="Q66" s="378"/>
      <c r="R66" s="75"/>
      <c r="S66" s="75"/>
    </row>
    <row r="67" spans="1:38" s="47" customFormat="1" ht="20.399999999999999" x14ac:dyDescent="0.2">
      <c r="A67" s="385" t="s">
        <v>535</v>
      </c>
      <c r="B67" s="378" t="s">
        <v>600</v>
      </c>
      <c r="C67" s="378" t="s">
        <v>15</v>
      </c>
      <c r="D67" s="378" t="s">
        <v>69</v>
      </c>
      <c r="E67" s="378" t="s">
        <v>536</v>
      </c>
      <c r="F67" s="378" t="s">
        <v>95</v>
      </c>
      <c r="G67" s="378" t="s">
        <v>61</v>
      </c>
      <c r="H67" s="378" t="s">
        <v>62</v>
      </c>
      <c r="I67" s="378" t="s">
        <v>63</v>
      </c>
      <c r="J67" s="378" t="s">
        <v>64</v>
      </c>
      <c r="K67" s="378" t="s">
        <v>65</v>
      </c>
      <c r="L67" s="378" t="s">
        <v>66</v>
      </c>
      <c r="M67" s="378" t="s">
        <v>67</v>
      </c>
      <c r="N67" s="378" t="s">
        <v>68</v>
      </c>
      <c r="O67" s="378" t="s">
        <v>19</v>
      </c>
      <c r="P67" s="378"/>
      <c r="Q67" s="378"/>
      <c r="R67" s="75"/>
      <c r="S67" s="75"/>
    </row>
    <row r="68" spans="1:38" s="47" customFormat="1" ht="10.199999999999999" x14ac:dyDescent="0.2">
      <c r="A68" s="384" t="s">
        <v>31</v>
      </c>
      <c r="B68" s="378" t="s">
        <v>599</v>
      </c>
      <c r="C68" s="378" t="s">
        <v>15</v>
      </c>
      <c r="D68" s="378" t="s">
        <v>42</v>
      </c>
      <c r="E68" s="378" t="s">
        <v>131</v>
      </c>
      <c r="F68" s="378" t="s">
        <v>132</v>
      </c>
      <c r="G68" s="378" t="s">
        <v>133</v>
      </c>
      <c r="H68" s="378" t="s">
        <v>134</v>
      </c>
      <c r="I68" s="378" t="s">
        <v>135</v>
      </c>
      <c r="J68" s="378" t="s">
        <v>136</v>
      </c>
      <c r="K68" s="378" t="s">
        <v>137</v>
      </c>
      <c r="L68" s="378" t="s">
        <v>138</v>
      </c>
      <c r="M68" s="378" t="s">
        <v>139</v>
      </c>
      <c r="N68" s="378"/>
      <c r="O68" s="378"/>
      <c r="P68" s="378"/>
      <c r="Q68" s="378"/>
      <c r="R68" s="75"/>
      <c r="S68" s="75"/>
    </row>
    <row r="69" spans="1:38" s="47" customFormat="1" ht="20.399999999999999" x14ac:dyDescent="0.2">
      <c r="A69" s="378" t="s">
        <v>49</v>
      </c>
      <c r="B69" s="378" t="s">
        <v>600</v>
      </c>
      <c r="C69" s="378" t="s">
        <v>15</v>
      </c>
      <c r="D69" s="378" t="s">
        <v>149</v>
      </c>
      <c r="E69" s="378" t="s">
        <v>155</v>
      </c>
      <c r="F69" s="378" t="s">
        <v>100</v>
      </c>
      <c r="G69" s="378" t="s">
        <v>101</v>
      </c>
      <c r="H69" s="378" t="s">
        <v>156</v>
      </c>
      <c r="I69" s="378" t="s">
        <v>157</v>
      </c>
      <c r="J69" s="378" t="s">
        <v>158</v>
      </c>
      <c r="K69" s="378" t="s">
        <v>159</v>
      </c>
      <c r="L69" s="378" t="s">
        <v>92</v>
      </c>
      <c r="M69" s="378" t="s">
        <v>93</v>
      </c>
      <c r="N69" s="378" t="s">
        <v>141</v>
      </c>
      <c r="O69" s="378" t="s">
        <v>95</v>
      </c>
      <c r="P69" s="378" t="s">
        <v>118</v>
      </c>
      <c r="Q69" s="385" t="s">
        <v>548</v>
      </c>
      <c r="R69" s="387" t="s">
        <v>61</v>
      </c>
      <c r="S69" s="387" t="s">
        <v>62</v>
      </c>
      <c r="T69" s="387" t="s">
        <v>63</v>
      </c>
      <c r="U69" s="387" t="s">
        <v>64</v>
      </c>
      <c r="V69" s="387" t="s">
        <v>65</v>
      </c>
      <c r="W69" s="387" t="s">
        <v>66</v>
      </c>
      <c r="X69" s="387" t="s">
        <v>67</v>
      </c>
      <c r="Y69" s="387" t="s">
        <v>68</v>
      </c>
      <c r="Z69" s="387" t="s">
        <v>19</v>
      </c>
    </row>
    <row r="70" spans="1:38" s="47" customFormat="1" ht="20.399999999999999" x14ac:dyDescent="0.2">
      <c r="A70" s="378" t="s">
        <v>49</v>
      </c>
      <c r="B70" s="378" t="s">
        <v>599</v>
      </c>
      <c r="C70" s="378" t="s">
        <v>15</v>
      </c>
      <c r="D70" s="378" t="s">
        <v>149</v>
      </c>
      <c r="E70" s="378" t="s">
        <v>155</v>
      </c>
      <c r="F70" s="378" t="s">
        <v>100</v>
      </c>
      <c r="G70" s="378" t="s">
        <v>101</v>
      </c>
      <c r="H70" s="378" t="s">
        <v>156</v>
      </c>
      <c r="I70" s="378" t="s">
        <v>157</v>
      </c>
      <c r="J70" s="378" t="s">
        <v>158</v>
      </c>
      <c r="K70" s="378" t="s">
        <v>159</v>
      </c>
      <c r="L70" s="378" t="s">
        <v>92</v>
      </c>
      <c r="M70" s="378" t="s">
        <v>93</v>
      </c>
      <c r="N70" s="378" t="s">
        <v>141</v>
      </c>
      <c r="O70" s="378" t="s">
        <v>95</v>
      </c>
      <c r="P70" s="378" t="s">
        <v>118</v>
      </c>
      <c r="Q70" s="378"/>
      <c r="R70" s="75"/>
      <c r="S70" s="75"/>
    </row>
    <row r="71" spans="1:38" s="47" customFormat="1" ht="20.399999999999999" x14ac:dyDescent="0.2">
      <c r="A71" s="378" t="s">
        <v>5</v>
      </c>
      <c r="B71" s="378" t="s">
        <v>600</v>
      </c>
      <c r="C71" s="378" t="s">
        <v>15</v>
      </c>
      <c r="D71" s="378" t="s">
        <v>127</v>
      </c>
      <c r="E71" s="378" t="s">
        <v>128</v>
      </c>
      <c r="F71" s="378" t="s">
        <v>129</v>
      </c>
      <c r="G71" s="385" t="s">
        <v>540</v>
      </c>
      <c r="H71" s="385" t="s">
        <v>61</v>
      </c>
      <c r="I71" s="385" t="s">
        <v>62</v>
      </c>
      <c r="J71" s="385" t="s">
        <v>63</v>
      </c>
      <c r="K71" s="385" t="s">
        <v>64</v>
      </c>
      <c r="L71" s="385" t="s">
        <v>65</v>
      </c>
      <c r="M71" s="385" t="s">
        <v>66</v>
      </c>
      <c r="N71" s="385" t="s">
        <v>67</v>
      </c>
      <c r="O71" s="385" t="s">
        <v>68</v>
      </c>
      <c r="P71" s="385" t="s">
        <v>541</v>
      </c>
      <c r="Q71" s="385" t="s">
        <v>147</v>
      </c>
      <c r="R71" s="387" t="s">
        <v>148</v>
      </c>
      <c r="S71" s="387" t="s">
        <v>141</v>
      </c>
      <c r="T71" s="387" t="s">
        <v>144</v>
      </c>
      <c r="U71" s="387" t="s">
        <v>145</v>
      </c>
      <c r="V71" s="387" t="s">
        <v>146</v>
      </c>
      <c r="W71" s="387" t="s">
        <v>142</v>
      </c>
      <c r="X71" s="387" t="s">
        <v>140</v>
      </c>
      <c r="Y71" s="387" t="s">
        <v>143</v>
      </c>
      <c r="Z71" s="387" t="s">
        <v>132</v>
      </c>
      <c r="AA71" s="387" t="s">
        <v>131</v>
      </c>
      <c r="AB71" s="387" t="s">
        <v>134</v>
      </c>
      <c r="AC71" s="387" t="s">
        <v>139</v>
      </c>
      <c r="AD71" s="387" t="s">
        <v>133</v>
      </c>
      <c r="AE71" s="387" t="s">
        <v>138</v>
      </c>
      <c r="AF71" s="387" t="s">
        <v>42</v>
      </c>
      <c r="AG71" s="387" t="s">
        <v>135</v>
      </c>
      <c r="AH71" s="387" t="s">
        <v>136</v>
      </c>
      <c r="AI71" s="387" t="s">
        <v>137</v>
      </c>
      <c r="AJ71" s="387" t="s">
        <v>130</v>
      </c>
      <c r="AK71" s="387" t="s">
        <v>19</v>
      </c>
      <c r="AL71" s="387" t="s">
        <v>604</v>
      </c>
    </row>
    <row r="72" spans="1:38" s="47" customFormat="1" ht="20.399999999999999" x14ac:dyDescent="0.2">
      <c r="A72" s="378" t="s">
        <v>5</v>
      </c>
      <c r="B72" s="378" t="s">
        <v>599</v>
      </c>
      <c r="C72" s="378" t="s">
        <v>15</v>
      </c>
      <c r="D72" s="378" t="s">
        <v>127</v>
      </c>
      <c r="E72" s="378" t="s">
        <v>128</v>
      </c>
      <c r="F72" s="378" t="s">
        <v>129</v>
      </c>
      <c r="G72" s="378"/>
      <c r="H72" s="378"/>
      <c r="I72" s="378"/>
      <c r="J72" s="378"/>
      <c r="K72" s="378"/>
      <c r="L72" s="378"/>
      <c r="M72" s="378"/>
      <c r="N72" s="378"/>
      <c r="O72" s="378"/>
      <c r="P72" s="378"/>
      <c r="Q72" s="378"/>
      <c r="R72" s="75"/>
      <c r="S72" s="75"/>
    </row>
    <row r="73" spans="1:38" s="47" customFormat="1" ht="20.399999999999999" x14ac:dyDescent="0.2">
      <c r="A73" s="385" t="s">
        <v>532</v>
      </c>
      <c r="B73" s="378" t="s">
        <v>600</v>
      </c>
      <c r="C73" s="378" t="s">
        <v>15</v>
      </c>
      <c r="D73" s="378" t="s">
        <v>69</v>
      </c>
      <c r="E73" s="378" t="s">
        <v>422</v>
      </c>
      <c r="F73" s="378" t="s">
        <v>100</v>
      </c>
      <c r="G73" s="378" t="s">
        <v>101</v>
      </c>
      <c r="H73" s="378" t="s">
        <v>533</v>
      </c>
      <c r="I73" s="378" t="s">
        <v>534</v>
      </c>
      <c r="J73" s="378" t="s">
        <v>61</v>
      </c>
      <c r="K73" s="378" t="s">
        <v>62</v>
      </c>
      <c r="L73" s="378" t="s">
        <v>63</v>
      </c>
      <c r="M73" s="378" t="s">
        <v>64</v>
      </c>
      <c r="N73" s="378" t="s">
        <v>65</v>
      </c>
      <c r="O73" s="378" t="s">
        <v>66</v>
      </c>
      <c r="P73" s="378" t="s">
        <v>67</v>
      </c>
      <c r="Q73" s="378" t="s">
        <v>68</v>
      </c>
      <c r="R73" s="75" t="s">
        <v>19</v>
      </c>
      <c r="S73" s="75"/>
    </row>
    <row r="74" spans="1:38" s="47" customFormat="1" ht="20.399999999999999" x14ac:dyDescent="0.2">
      <c r="A74" s="378" t="s">
        <v>54</v>
      </c>
      <c r="B74" s="378" t="s">
        <v>600</v>
      </c>
      <c r="C74" s="378" t="s">
        <v>15</v>
      </c>
      <c r="D74" s="378" t="s">
        <v>69</v>
      </c>
      <c r="E74" s="378" t="s">
        <v>165</v>
      </c>
      <c r="F74" s="378" t="s">
        <v>95</v>
      </c>
      <c r="G74" s="378" t="s">
        <v>166</v>
      </c>
      <c r="H74" s="378" t="s">
        <v>167</v>
      </c>
      <c r="I74" s="385" t="s">
        <v>168</v>
      </c>
      <c r="J74" s="385" t="s">
        <v>61</v>
      </c>
      <c r="K74" s="385" t="s">
        <v>62</v>
      </c>
      <c r="L74" s="385" t="s">
        <v>63</v>
      </c>
      <c r="M74" s="385" t="s">
        <v>64</v>
      </c>
      <c r="N74" s="385" t="s">
        <v>65</v>
      </c>
      <c r="O74" s="385" t="s">
        <v>66</v>
      </c>
      <c r="P74" s="385" t="s">
        <v>67</v>
      </c>
      <c r="Q74" s="385" t="s">
        <v>68</v>
      </c>
      <c r="R74" s="387" t="s">
        <v>19</v>
      </c>
      <c r="S74" s="75"/>
    </row>
    <row r="75" spans="1:38" s="47" customFormat="1" ht="20.399999999999999" x14ac:dyDescent="0.2">
      <c r="A75" s="378" t="s">
        <v>54</v>
      </c>
      <c r="B75" s="378" t="s">
        <v>599</v>
      </c>
      <c r="C75" s="378" t="s">
        <v>15</v>
      </c>
      <c r="D75" s="378" t="s">
        <v>69</v>
      </c>
      <c r="E75" s="378" t="s">
        <v>165</v>
      </c>
      <c r="F75" s="378" t="s">
        <v>95</v>
      </c>
      <c r="G75" s="378" t="s">
        <v>166</v>
      </c>
      <c r="H75" s="378" t="s">
        <v>167</v>
      </c>
      <c r="I75" s="384" t="s">
        <v>277</v>
      </c>
      <c r="J75" s="378"/>
      <c r="K75" s="378"/>
      <c r="L75" s="378"/>
      <c r="M75" s="378"/>
      <c r="N75" s="378"/>
      <c r="O75" s="378"/>
      <c r="P75" s="378"/>
      <c r="Q75" s="378"/>
      <c r="R75" s="75"/>
      <c r="S75" s="75"/>
    </row>
    <row r="76" spans="1:38" s="47" customFormat="1" ht="20.399999999999999" x14ac:dyDescent="0.2">
      <c r="A76" s="378" t="s">
        <v>53</v>
      </c>
      <c r="B76" s="378" t="s">
        <v>600</v>
      </c>
      <c r="C76" s="378" t="s">
        <v>15</v>
      </c>
      <c r="D76" s="378" t="s">
        <v>69</v>
      </c>
      <c r="E76" s="378" t="s">
        <v>162</v>
      </c>
      <c r="F76" s="378" t="s">
        <v>163</v>
      </c>
      <c r="G76" s="378" t="s">
        <v>100</v>
      </c>
      <c r="H76" s="378" t="s">
        <v>124</v>
      </c>
      <c r="I76" s="378" t="s">
        <v>164</v>
      </c>
      <c r="J76" s="385" t="s">
        <v>61</v>
      </c>
      <c r="K76" s="385" t="s">
        <v>62</v>
      </c>
      <c r="L76" s="385" t="s">
        <v>63</v>
      </c>
      <c r="M76" s="385" t="s">
        <v>64</v>
      </c>
      <c r="N76" s="385" t="s">
        <v>65</v>
      </c>
      <c r="O76" s="385" t="s">
        <v>66</v>
      </c>
      <c r="P76" s="385" t="s">
        <v>67</v>
      </c>
      <c r="Q76" s="385" t="s">
        <v>68</v>
      </c>
      <c r="R76" s="387" t="s">
        <v>38</v>
      </c>
      <c r="S76" s="75"/>
    </row>
    <row r="77" spans="1:38" s="47" customFormat="1" ht="20.399999999999999" x14ac:dyDescent="0.2">
      <c r="A77" s="378" t="s">
        <v>53</v>
      </c>
      <c r="B77" s="378" t="s">
        <v>599</v>
      </c>
      <c r="C77" s="378" t="s">
        <v>15</v>
      </c>
      <c r="D77" s="378" t="s">
        <v>69</v>
      </c>
      <c r="E77" s="378" t="s">
        <v>162</v>
      </c>
      <c r="F77" s="378" t="s">
        <v>163</v>
      </c>
      <c r="G77" s="378" t="s">
        <v>100</v>
      </c>
      <c r="H77" s="378" t="s">
        <v>124</v>
      </c>
      <c r="I77" s="378" t="s">
        <v>164</v>
      </c>
      <c r="J77" s="384" t="s">
        <v>38</v>
      </c>
      <c r="K77" s="378"/>
      <c r="L77" s="378"/>
      <c r="M77" s="378"/>
      <c r="N77" s="378"/>
      <c r="O77" s="378"/>
      <c r="P77" s="378"/>
      <c r="Q77" s="378"/>
      <c r="R77" s="75"/>
      <c r="S77" s="75"/>
    </row>
    <row r="78" spans="1:38" s="47" customFormat="1" ht="20.399999999999999" x14ac:dyDescent="0.2">
      <c r="A78" s="378" t="s">
        <v>51</v>
      </c>
      <c r="B78" s="378" t="s">
        <v>600</v>
      </c>
      <c r="C78" s="378" t="s">
        <v>15</v>
      </c>
      <c r="D78" s="378" t="s">
        <v>22</v>
      </c>
      <c r="E78" s="378" t="s">
        <v>38</v>
      </c>
      <c r="F78" s="378" t="s">
        <v>418</v>
      </c>
      <c r="G78" s="385" t="s">
        <v>61</v>
      </c>
      <c r="H78" s="385" t="s">
        <v>62</v>
      </c>
      <c r="I78" s="385" t="s">
        <v>63</v>
      </c>
      <c r="J78" s="385" t="s">
        <v>64</v>
      </c>
      <c r="K78" s="385" t="s">
        <v>65</v>
      </c>
      <c r="L78" s="385" t="s">
        <v>66</v>
      </c>
      <c r="M78" s="385" t="s">
        <v>67</v>
      </c>
      <c r="N78" s="385" t="s">
        <v>68</v>
      </c>
      <c r="O78" s="385" t="s">
        <v>19</v>
      </c>
      <c r="P78" s="378"/>
      <c r="Q78" s="378"/>
      <c r="R78" s="75"/>
      <c r="S78" s="75"/>
    </row>
    <row r="79" spans="1:38" s="47" customFormat="1" ht="10.199999999999999" x14ac:dyDescent="0.2">
      <c r="A79" s="378" t="s">
        <v>51</v>
      </c>
      <c r="B79" s="378" t="s">
        <v>599</v>
      </c>
      <c r="C79" s="378" t="s">
        <v>15</v>
      </c>
      <c r="D79" s="378" t="s">
        <v>22</v>
      </c>
      <c r="E79" s="378" t="s">
        <v>38</v>
      </c>
      <c r="F79" s="378" t="s">
        <v>418</v>
      </c>
      <c r="G79" s="378"/>
      <c r="H79" s="378"/>
      <c r="I79" s="378"/>
      <c r="J79" s="378"/>
      <c r="K79" s="378"/>
      <c r="L79" s="378"/>
      <c r="M79" s="378"/>
      <c r="N79" s="378"/>
      <c r="O79" s="378"/>
      <c r="P79" s="378"/>
      <c r="Q79" s="378"/>
      <c r="R79" s="75"/>
      <c r="S79" s="75"/>
    </row>
    <row r="80" spans="1:38" s="47" customFormat="1" ht="20.399999999999999" x14ac:dyDescent="0.2">
      <c r="A80" s="378" t="s">
        <v>46</v>
      </c>
      <c r="B80" s="378" t="s">
        <v>600</v>
      </c>
      <c r="C80" s="378" t="s">
        <v>15</v>
      </c>
      <c r="D80" s="378" t="s">
        <v>69</v>
      </c>
      <c r="E80" s="378" t="s">
        <v>123</v>
      </c>
      <c r="F80" s="378" t="s">
        <v>124</v>
      </c>
      <c r="G80" s="378" t="s">
        <v>125</v>
      </c>
      <c r="H80" s="378" t="s">
        <v>126</v>
      </c>
      <c r="I80" s="378" t="s">
        <v>118</v>
      </c>
      <c r="J80" s="385" t="s">
        <v>61</v>
      </c>
      <c r="K80" s="385" t="s">
        <v>62</v>
      </c>
      <c r="L80" s="385" t="s">
        <v>63</v>
      </c>
      <c r="M80" s="385" t="s">
        <v>64</v>
      </c>
      <c r="N80" s="385" t="s">
        <v>65</v>
      </c>
      <c r="O80" s="385" t="s">
        <v>66</v>
      </c>
      <c r="P80" s="385" t="s">
        <v>67</v>
      </c>
      <c r="Q80" s="385" t="s">
        <v>68</v>
      </c>
      <c r="R80" s="387" t="s">
        <v>19</v>
      </c>
      <c r="S80" s="75"/>
    </row>
    <row r="81" spans="1:26" s="47" customFormat="1" ht="20.399999999999999" x14ac:dyDescent="0.2">
      <c r="A81" s="378" t="s">
        <v>46</v>
      </c>
      <c r="B81" s="378" t="s">
        <v>599</v>
      </c>
      <c r="C81" s="378" t="s">
        <v>15</v>
      </c>
      <c r="D81" s="378" t="s">
        <v>69</v>
      </c>
      <c r="E81" s="378" t="s">
        <v>123</v>
      </c>
      <c r="F81" s="378" t="s">
        <v>124</v>
      </c>
      <c r="G81" s="378" t="s">
        <v>125</v>
      </c>
      <c r="H81" s="378" t="s">
        <v>126</v>
      </c>
      <c r="I81" s="378" t="s">
        <v>118</v>
      </c>
      <c r="J81" s="378"/>
      <c r="K81" s="378"/>
      <c r="L81" s="378"/>
      <c r="M81" s="378"/>
      <c r="N81" s="378"/>
      <c r="O81" s="378"/>
      <c r="P81" s="378"/>
      <c r="Q81" s="378"/>
      <c r="R81" s="75"/>
      <c r="S81" s="75"/>
    </row>
    <row r="82" spans="1:26" s="47" customFormat="1" ht="20.399999999999999" x14ac:dyDescent="0.2">
      <c r="A82" s="378" t="s">
        <v>419</v>
      </c>
      <c r="B82" s="378" t="s">
        <v>600</v>
      </c>
      <c r="C82" s="378" t="s">
        <v>15</v>
      </c>
      <c r="D82" s="378" t="s">
        <v>27</v>
      </c>
      <c r="E82" s="378" t="s">
        <v>91</v>
      </c>
      <c r="F82" s="378" t="s">
        <v>420</v>
      </c>
      <c r="G82" s="378" t="s">
        <v>421</v>
      </c>
      <c r="H82" s="378" t="s">
        <v>422</v>
      </c>
      <c r="I82" s="378" t="s">
        <v>95</v>
      </c>
      <c r="J82" s="385" t="s">
        <v>61</v>
      </c>
      <c r="K82" s="385" t="s">
        <v>62</v>
      </c>
      <c r="L82" s="385" t="s">
        <v>63</v>
      </c>
      <c r="M82" s="385" t="s">
        <v>64</v>
      </c>
      <c r="N82" s="385" t="s">
        <v>65</v>
      </c>
      <c r="O82" s="385" t="s">
        <v>66</v>
      </c>
      <c r="P82" s="385" t="s">
        <v>67</v>
      </c>
      <c r="Q82" s="385" t="s">
        <v>68</v>
      </c>
      <c r="R82" s="387" t="s">
        <v>19</v>
      </c>
      <c r="S82" s="75"/>
    </row>
    <row r="83" spans="1:26" s="47" customFormat="1" ht="20.399999999999999" x14ac:dyDescent="0.2">
      <c r="A83" s="378" t="s">
        <v>419</v>
      </c>
      <c r="B83" s="378" t="s">
        <v>599</v>
      </c>
      <c r="C83" s="378" t="s">
        <v>15</v>
      </c>
      <c r="D83" s="378" t="s">
        <v>27</v>
      </c>
      <c r="E83" s="378" t="s">
        <v>91</v>
      </c>
      <c r="F83" s="378" t="s">
        <v>420</v>
      </c>
      <c r="G83" s="378" t="s">
        <v>421</v>
      </c>
      <c r="H83" s="378" t="s">
        <v>422</v>
      </c>
      <c r="I83" s="378" t="s">
        <v>95</v>
      </c>
      <c r="J83" s="378"/>
      <c r="K83" s="378"/>
      <c r="L83" s="378"/>
      <c r="M83" s="378"/>
      <c r="N83" s="378"/>
      <c r="O83" s="378"/>
      <c r="P83" s="378"/>
      <c r="Q83" s="378"/>
      <c r="R83" s="75"/>
      <c r="S83" s="75"/>
    </row>
    <row r="84" spans="1:26" s="47" customFormat="1" ht="20.399999999999999" x14ac:dyDescent="0.2">
      <c r="A84" s="378" t="s">
        <v>423</v>
      </c>
      <c r="B84" s="378" t="s">
        <v>600</v>
      </c>
      <c r="C84" s="378" t="s">
        <v>15</v>
      </c>
      <c r="D84" s="378" t="s">
        <v>421</v>
      </c>
      <c r="E84" s="378" t="s">
        <v>422</v>
      </c>
      <c r="F84" s="378" t="s">
        <v>95</v>
      </c>
      <c r="G84" s="378" t="s">
        <v>38</v>
      </c>
      <c r="H84" s="385" t="s">
        <v>61</v>
      </c>
      <c r="I84" s="385" t="s">
        <v>62</v>
      </c>
      <c r="J84" s="385" t="s">
        <v>63</v>
      </c>
      <c r="K84" s="385" t="s">
        <v>64</v>
      </c>
      <c r="L84" s="385" t="s">
        <v>65</v>
      </c>
      <c r="M84" s="385" t="s">
        <v>66</v>
      </c>
      <c r="N84" s="385" t="s">
        <v>67</v>
      </c>
      <c r="O84" s="385" t="s">
        <v>68</v>
      </c>
      <c r="P84" s="385" t="s">
        <v>19</v>
      </c>
      <c r="Q84" s="378"/>
      <c r="R84" s="75"/>
      <c r="S84" s="75"/>
    </row>
    <row r="85" spans="1:26" s="47" customFormat="1" ht="10.199999999999999" x14ac:dyDescent="0.2">
      <c r="A85" s="378" t="s">
        <v>423</v>
      </c>
      <c r="B85" s="378" t="s">
        <v>599</v>
      </c>
      <c r="C85" s="378" t="s">
        <v>15</v>
      </c>
      <c r="D85" s="378" t="s">
        <v>421</v>
      </c>
      <c r="E85" s="378" t="s">
        <v>422</v>
      </c>
      <c r="F85" s="378" t="s">
        <v>95</v>
      </c>
      <c r="G85" s="378" t="s">
        <v>38</v>
      </c>
      <c r="H85" s="378"/>
      <c r="I85" s="378"/>
      <c r="J85" s="378"/>
      <c r="K85" s="378"/>
      <c r="L85" s="378"/>
      <c r="M85" s="378"/>
      <c r="N85" s="378"/>
      <c r="O85" s="378"/>
      <c r="P85" s="378"/>
      <c r="Q85" s="378"/>
      <c r="R85" s="75"/>
      <c r="S85" s="75"/>
    </row>
    <row r="86" spans="1:26" s="47" customFormat="1" ht="20.399999999999999" x14ac:dyDescent="0.2">
      <c r="A86" s="378" t="s">
        <v>301</v>
      </c>
      <c r="B86" s="378" t="s">
        <v>600</v>
      </c>
      <c r="C86" s="378" t="s">
        <v>15</v>
      </c>
      <c r="D86" s="378" t="s">
        <v>95</v>
      </c>
      <c r="E86" s="378" t="s">
        <v>166</v>
      </c>
      <c r="F86" s="378" t="s">
        <v>167</v>
      </c>
      <c r="G86" s="385" t="s">
        <v>61</v>
      </c>
      <c r="H86" s="385" t="s">
        <v>62</v>
      </c>
      <c r="I86" s="385" t="s">
        <v>63</v>
      </c>
      <c r="J86" s="385" t="s">
        <v>64</v>
      </c>
      <c r="K86" s="385" t="s">
        <v>65</v>
      </c>
      <c r="L86" s="385" t="s">
        <v>66</v>
      </c>
      <c r="M86" s="385" t="s">
        <v>67</v>
      </c>
      <c r="N86" s="385" t="s">
        <v>68</v>
      </c>
      <c r="O86" s="385" t="s">
        <v>19</v>
      </c>
      <c r="P86" s="378"/>
      <c r="Q86" s="378"/>
      <c r="R86" s="75"/>
      <c r="S86" s="75"/>
    </row>
    <row r="87" spans="1:26" s="47" customFormat="1" ht="20.399999999999999" x14ac:dyDescent="0.2">
      <c r="A87" s="378" t="s">
        <v>301</v>
      </c>
      <c r="B87" s="378" t="s">
        <v>599</v>
      </c>
      <c r="C87" s="378" t="s">
        <v>15</v>
      </c>
      <c r="D87" s="378" t="s">
        <v>95</v>
      </c>
      <c r="E87" s="378" t="s">
        <v>166</v>
      </c>
      <c r="F87" s="378" t="s">
        <v>167</v>
      </c>
      <c r="G87" s="378"/>
      <c r="H87" s="378"/>
      <c r="I87" s="378"/>
      <c r="J87" s="378"/>
      <c r="K87" s="378"/>
      <c r="L87" s="378"/>
      <c r="M87" s="378"/>
      <c r="N87" s="378"/>
      <c r="O87" s="378"/>
      <c r="P87" s="378"/>
      <c r="Q87" s="378"/>
      <c r="R87" s="75"/>
      <c r="S87" s="75"/>
    </row>
    <row r="88" spans="1:26" s="47" customFormat="1" ht="20.399999999999999" x14ac:dyDescent="0.2">
      <c r="A88" s="378" t="s">
        <v>1</v>
      </c>
      <c r="B88" s="378" t="s">
        <v>600</v>
      </c>
      <c r="C88" s="378" t="s">
        <v>15</v>
      </c>
      <c r="D88" s="378" t="s">
        <v>114</v>
      </c>
      <c r="E88" s="378" t="s">
        <v>22</v>
      </c>
      <c r="F88" s="385" t="s">
        <v>61</v>
      </c>
      <c r="G88" s="385" t="s">
        <v>62</v>
      </c>
      <c r="H88" s="385" t="s">
        <v>63</v>
      </c>
      <c r="I88" s="385" t="s">
        <v>64</v>
      </c>
      <c r="J88" s="385" t="s">
        <v>65</v>
      </c>
      <c r="K88" s="385" t="s">
        <v>66</v>
      </c>
      <c r="L88" s="385" t="s">
        <v>67</v>
      </c>
      <c r="M88" s="385" t="s">
        <v>68</v>
      </c>
      <c r="N88" s="385" t="s">
        <v>19</v>
      </c>
      <c r="O88" s="378"/>
      <c r="P88" s="378"/>
      <c r="Q88" s="378"/>
      <c r="R88" s="75"/>
      <c r="S88" s="75"/>
    </row>
    <row r="89" spans="1:26" s="47" customFormat="1" ht="10.199999999999999" x14ac:dyDescent="0.2">
      <c r="A89" s="378" t="s">
        <v>1</v>
      </c>
      <c r="B89" s="378" t="s">
        <v>599</v>
      </c>
      <c r="C89" s="378" t="s">
        <v>15</v>
      </c>
      <c r="D89" s="378" t="s">
        <v>114</v>
      </c>
      <c r="E89" s="378" t="s">
        <v>22</v>
      </c>
      <c r="F89" s="378"/>
      <c r="G89" s="378"/>
      <c r="H89" s="378"/>
      <c r="I89" s="378"/>
      <c r="J89" s="378"/>
      <c r="K89" s="378"/>
      <c r="L89" s="378"/>
      <c r="M89" s="378"/>
      <c r="N89" s="378"/>
      <c r="O89" s="378"/>
      <c r="P89" s="378"/>
      <c r="Q89" s="378"/>
      <c r="R89" s="75"/>
      <c r="S89" s="75"/>
    </row>
    <row r="90" spans="1:26" s="47" customFormat="1" ht="20.399999999999999" x14ac:dyDescent="0.2">
      <c r="A90" s="379" t="s">
        <v>50</v>
      </c>
      <c r="B90" s="378" t="s">
        <v>600</v>
      </c>
      <c r="C90" s="378" t="s">
        <v>15</v>
      </c>
      <c r="D90" s="378" t="s">
        <v>149</v>
      </c>
      <c r="E90" s="378" t="s">
        <v>155</v>
      </c>
      <c r="F90" s="378" t="s">
        <v>160</v>
      </c>
      <c r="G90" s="378" t="s">
        <v>100</v>
      </c>
      <c r="H90" s="378" t="s">
        <v>101</v>
      </c>
      <c r="I90" s="378" t="s">
        <v>156</v>
      </c>
      <c r="J90" s="378" t="s">
        <v>157</v>
      </c>
      <c r="K90" s="378" t="s">
        <v>158</v>
      </c>
      <c r="L90" s="378" t="s">
        <v>159</v>
      </c>
      <c r="M90" s="378" t="s">
        <v>92</v>
      </c>
      <c r="N90" s="378" t="s">
        <v>93</v>
      </c>
      <c r="O90" s="378" t="s">
        <v>95</v>
      </c>
      <c r="P90" s="378" t="s">
        <v>118</v>
      </c>
      <c r="Q90" s="389" t="s">
        <v>548</v>
      </c>
      <c r="R90" s="387" t="s">
        <v>61</v>
      </c>
      <c r="S90" s="387" t="s">
        <v>62</v>
      </c>
      <c r="T90" s="387" t="s">
        <v>63</v>
      </c>
      <c r="U90" s="387" t="s">
        <v>64</v>
      </c>
      <c r="V90" s="387" t="s">
        <v>65</v>
      </c>
      <c r="W90" s="387" t="s">
        <v>66</v>
      </c>
      <c r="X90" s="387" t="s">
        <v>67</v>
      </c>
      <c r="Y90" s="387" t="s">
        <v>68</v>
      </c>
      <c r="Z90" s="387" t="s">
        <v>19</v>
      </c>
    </row>
    <row r="91" spans="1:26" s="47" customFormat="1" ht="20.399999999999999" x14ac:dyDescent="0.2">
      <c r="A91" s="378" t="s">
        <v>50</v>
      </c>
      <c r="B91" s="378" t="s">
        <v>599</v>
      </c>
      <c r="C91" s="378" t="s">
        <v>15</v>
      </c>
      <c r="D91" s="378" t="s">
        <v>149</v>
      </c>
      <c r="E91" s="378" t="s">
        <v>155</v>
      </c>
      <c r="F91" s="378" t="s">
        <v>160</v>
      </c>
      <c r="G91" s="378" t="s">
        <v>100</v>
      </c>
      <c r="H91" s="378" t="s">
        <v>101</v>
      </c>
      <c r="I91" s="378" t="s">
        <v>156</v>
      </c>
      <c r="J91" s="378" t="s">
        <v>157</v>
      </c>
      <c r="K91" s="378" t="s">
        <v>158</v>
      </c>
      <c r="L91" s="378" t="s">
        <v>159</v>
      </c>
      <c r="M91" s="378" t="s">
        <v>92</v>
      </c>
      <c r="N91" s="378" t="s">
        <v>93</v>
      </c>
      <c r="O91" s="378" t="s">
        <v>95</v>
      </c>
      <c r="P91" s="378" t="s">
        <v>118</v>
      </c>
      <c r="Q91" s="378"/>
      <c r="R91" s="75"/>
      <c r="S91" s="75"/>
    </row>
    <row r="92" spans="1:26" s="47" customFormat="1" ht="10.199999999999999" x14ac:dyDescent="0.2">
      <c r="A92" s="72"/>
      <c r="B92" s="45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73"/>
      <c r="Q92" s="71"/>
    </row>
    <row r="93" spans="1:26" s="47" customFormat="1" ht="10.199999999999999" x14ac:dyDescent="0.2">
      <c r="A93" s="72"/>
      <c r="B93" s="45"/>
      <c r="C93" s="73"/>
      <c r="D93" s="73"/>
      <c r="E93" s="73"/>
      <c r="F93" s="73"/>
      <c r="G93" s="73"/>
      <c r="H93" s="73"/>
      <c r="I93" s="73"/>
      <c r="J93" s="73"/>
      <c r="K93" s="73"/>
      <c r="L93" s="73"/>
      <c r="M93" s="73"/>
      <c r="N93" s="73"/>
      <c r="O93" s="73"/>
      <c r="P93" s="73"/>
      <c r="Q93" s="71"/>
    </row>
    <row r="94" spans="1:26" s="47" customFormat="1" ht="10.199999999999999" x14ac:dyDescent="0.2">
      <c r="A94" s="72"/>
      <c r="B94" s="45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73"/>
      <c r="N94" s="73"/>
      <c r="O94" s="73"/>
      <c r="P94" s="73"/>
      <c r="Q94" s="71"/>
    </row>
    <row r="95" spans="1:26" s="47" customFormat="1" ht="10.199999999999999" x14ac:dyDescent="0.2">
      <c r="A95" s="72"/>
      <c r="B95" s="45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73"/>
      <c r="N95" s="73"/>
      <c r="O95" s="73"/>
      <c r="P95" s="73"/>
      <c r="Q95" s="71"/>
    </row>
    <row r="96" spans="1:26" s="47" customFormat="1" ht="10.199999999999999" x14ac:dyDescent="0.2">
      <c r="A96" s="72"/>
      <c r="B96" s="45"/>
      <c r="C96" s="73"/>
      <c r="D96" s="73"/>
      <c r="E96" s="73"/>
      <c r="F96" s="73"/>
      <c r="G96" s="73"/>
      <c r="H96" s="73"/>
      <c r="I96" s="73"/>
      <c r="J96" s="73"/>
      <c r="K96" s="73"/>
      <c r="L96" s="73"/>
      <c r="M96" s="73"/>
      <c r="N96" s="73"/>
      <c r="O96" s="73"/>
      <c r="P96" s="73"/>
      <c r="Q96" s="71"/>
    </row>
    <row r="97" spans="1:17" s="47" customFormat="1" ht="10.199999999999999" x14ac:dyDescent="0.2">
      <c r="A97" s="72"/>
      <c r="B97" s="45"/>
      <c r="C97" s="73"/>
      <c r="D97" s="73"/>
      <c r="E97" s="73"/>
      <c r="F97" s="73"/>
      <c r="G97" s="73"/>
      <c r="H97" s="73"/>
      <c r="I97" s="73"/>
      <c r="J97" s="73"/>
      <c r="K97" s="73"/>
      <c r="L97" s="73"/>
      <c r="M97" s="73"/>
      <c r="N97" s="73"/>
      <c r="O97" s="73"/>
      <c r="P97" s="73"/>
      <c r="Q97" s="71"/>
    </row>
    <row r="98" spans="1:17" s="47" customFormat="1" ht="10.199999999999999" x14ac:dyDescent="0.2">
      <c r="A98" s="72"/>
      <c r="B98" s="45"/>
      <c r="C98" s="73"/>
      <c r="D98" s="73"/>
      <c r="E98" s="73"/>
      <c r="F98" s="73"/>
      <c r="G98" s="73"/>
      <c r="H98" s="73"/>
      <c r="I98" s="73"/>
      <c r="J98" s="73"/>
      <c r="K98" s="73"/>
      <c r="L98" s="73"/>
      <c r="M98" s="73"/>
      <c r="N98" s="73"/>
      <c r="O98" s="73"/>
      <c r="P98" s="73"/>
      <c r="Q98" s="71"/>
    </row>
    <row r="99" spans="1:17" x14ac:dyDescent="0.3">
      <c r="B99" s="31"/>
      <c r="C99" s="70"/>
      <c r="D99" s="70"/>
      <c r="E99" s="70"/>
      <c r="F99" s="70"/>
      <c r="G99" s="70"/>
      <c r="H99" s="70"/>
      <c r="I99" s="70"/>
      <c r="J99" s="70"/>
      <c r="K99" s="70"/>
      <c r="L99" s="70"/>
      <c r="M99" s="70"/>
      <c r="N99" s="70"/>
      <c r="O99" s="70"/>
      <c r="P99" s="70"/>
      <c r="Q99" s="70"/>
    </row>
    <row r="100" spans="1:17" x14ac:dyDescent="0.3">
      <c r="B100" s="31"/>
      <c r="C100" s="70"/>
      <c r="D100" s="70"/>
      <c r="E100" s="70"/>
      <c r="F100" s="70"/>
      <c r="G100" s="70"/>
      <c r="H100" s="70"/>
      <c r="I100" s="70"/>
      <c r="J100" s="70"/>
      <c r="K100" s="70"/>
      <c r="L100" s="70"/>
      <c r="M100" s="70"/>
      <c r="N100" s="70"/>
      <c r="O100" s="70"/>
      <c r="P100" s="70"/>
      <c r="Q100" s="70"/>
    </row>
    <row r="101" spans="1:17" x14ac:dyDescent="0.3">
      <c r="B101" s="31"/>
      <c r="C101" s="70"/>
      <c r="D101" s="70"/>
      <c r="E101" s="70"/>
      <c r="F101" s="70"/>
      <c r="G101" s="70"/>
      <c r="H101" s="70"/>
      <c r="I101" s="70"/>
      <c r="J101" s="70"/>
      <c r="K101" s="70"/>
      <c r="L101" s="70"/>
      <c r="M101" s="70"/>
      <c r="N101" s="70"/>
      <c r="O101" s="70"/>
      <c r="P101" s="70"/>
      <c r="Q101" s="70"/>
    </row>
    <row r="102" spans="1:17" x14ac:dyDescent="0.3">
      <c r="B102" s="31"/>
      <c r="C102" s="70"/>
      <c r="D102" s="70"/>
      <c r="E102" s="70"/>
      <c r="F102" s="70"/>
      <c r="G102" s="70"/>
      <c r="H102" s="70"/>
      <c r="I102" s="70"/>
      <c r="J102" s="70"/>
      <c r="K102" s="70"/>
      <c r="L102" s="70"/>
      <c r="M102" s="70"/>
      <c r="N102" s="70"/>
      <c r="O102" s="70"/>
      <c r="P102" s="70"/>
      <c r="Q102" s="70"/>
    </row>
    <row r="103" spans="1:17" x14ac:dyDescent="0.3">
      <c r="B103" s="31"/>
      <c r="C103" s="70"/>
      <c r="D103" s="70"/>
      <c r="E103" s="70"/>
      <c r="F103" s="70"/>
      <c r="G103" s="70"/>
      <c r="H103" s="70"/>
      <c r="I103" s="70"/>
      <c r="J103" s="70"/>
      <c r="K103" s="70"/>
      <c r="L103" s="70"/>
      <c r="M103" s="70"/>
      <c r="N103" s="70"/>
      <c r="O103" s="70"/>
      <c r="P103" s="70"/>
      <c r="Q103" s="70"/>
    </row>
    <row r="104" spans="1:17" x14ac:dyDescent="0.3">
      <c r="B104" s="31"/>
      <c r="C104" s="70"/>
      <c r="D104" s="70"/>
      <c r="E104" s="70"/>
      <c r="F104" s="70"/>
      <c r="G104" s="70"/>
      <c r="H104" s="70"/>
      <c r="I104" s="70"/>
      <c r="J104" s="70"/>
      <c r="K104" s="70"/>
      <c r="L104" s="70"/>
      <c r="M104" s="70"/>
      <c r="N104" s="70"/>
      <c r="O104" s="70"/>
      <c r="P104" s="70"/>
      <c r="Q104" s="70"/>
    </row>
    <row r="105" spans="1:17" x14ac:dyDescent="0.3">
      <c r="B105" s="31"/>
    </row>
    <row r="106" spans="1:17" x14ac:dyDescent="0.3">
      <c r="B106" s="31"/>
    </row>
    <row r="107" spans="1:17" x14ac:dyDescent="0.3">
      <c r="B107" s="31"/>
    </row>
    <row r="108" spans="1:17" x14ac:dyDescent="0.3">
      <c r="B108" s="31"/>
    </row>
    <row r="109" spans="1:17" x14ac:dyDescent="0.3">
      <c r="B109" s="31"/>
    </row>
    <row r="110" spans="1:17" x14ac:dyDescent="0.3">
      <c r="B110" s="31"/>
    </row>
    <row r="111" spans="1:17" x14ac:dyDescent="0.3">
      <c r="B111" s="31"/>
    </row>
    <row r="112" spans="1:17" x14ac:dyDescent="0.3">
      <c r="B112" s="31"/>
    </row>
    <row r="113" spans="2:2" x14ac:dyDescent="0.3">
      <c r="B113" s="31"/>
    </row>
    <row r="114" spans="2:2" x14ac:dyDescent="0.3">
      <c r="B114" s="31"/>
    </row>
    <row r="115" spans="2:2" x14ac:dyDescent="0.3">
      <c r="B115" s="31"/>
    </row>
    <row r="116" spans="2:2" x14ac:dyDescent="0.3">
      <c r="B116" s="31"/>
    </row>
    <row r="117" spans="2:2" x14ac:dyDescent="0.3">
      <c r="B117" s="31"/>
    </row>
    <row r="118" spans="2:2" x14ac:dyDescent="0.3">
      <c r="B118" s="31"/>
    </row>
    <row r="119" spans="2:2" x14ac:dyDescent="0.3">
      <c r="B119" s="31"/>
    </row>
    <row r="120" spans="2:2" x14ac:dyDescent="0.3">
      <c r="B120" s="31"/>
    </row>
    <row r="121" spans="2:2" x14ac:dyDescent="0.3">
      <c r="B121" s="31"/>
    </row>
    <row r="122" spans="2:2" x14ac:dyDescent="0.3">
      <c r="B122" s="31"/>
    </row>
    <row r="123" spans="2:2" x14ac:dyDescent="0.3">
      <c r="B123" s="31"/>
    </row>
    <row r="124" spans="2:2" x14ac:dyDescent="0.3">
      <c r="B124" s="31"/>
    </row>
    <row r="125" spans="2:2" x14ac:dyDescent="0.3">
      <c r="B125" s="31"/>
    </row>
    <row r="126" spans="2:2" x14ac:dyDescent="0.3">
      <c r="B126" s="31"/>
    </row>
    <row r="127" spans="2:2" x14ac:dyDescent="0.3">
      <c r="B127" s="31"/>
    </row>
    <row r="128" spans="2:2" x14ac:dyDescent="0.3">
      <c r="B128" s="31"/>
    </row>
    <row r="129" spans="2:2" x14ac:dyDescent="0.3">
      <c r="B129" s="31"/>
    </row>
    <row r="130" spans="2:2" x14ac:dyDescent="0.3">
      <c r="B130" s="31"/>
    </row>
    <row r="131" spans="2:2" x14ac:dyDescent="0.3">
      <c r="B131" s="31"/>
    </row>
    <row r="132" spans="2:2" x14ac:dyDescent="0.3">
      <c r="B132" s="31"/>
    </row>
    <row r="133" spans="2:2" x14ac:dyDescent="0.3">
      <c r="B133" s="31"/>
    </row>
    <row r="134" spans="2:2" x14ac:dyDescent="0.3">
      <c r="B134" s="31"/>
    </row>
    <row r="135" spans="2:2" x14ac:dyDescent="0.3">
      <c r="B135" s="31"/>
    </row>
    <row r="136" spans="2:2" x14ac:dyDescent="0.3">
      <c r="B136" s="31"/>
    </row>
    <row r="137" spans="2:2" x14ac:dyDescent="0.3">
      <c r="B137" s="31"/>
    </row>
    <row r="138" spans="2:2" x14ac:dyDescent="0.3">
      <c r="B138" s="31"/>
    </row>
    <row r="139" spans="2:2" x14ac:dyDescent="0.3">
      <c r="B139" s="31"/>
    </row>
    <row r="140" spans="2:2" x14ac:dyDescent="0.3">
      <c r="B140" s="31"/>
    </row>
    <row r="141" spans="2:2" x14ac:dyDescent="0.3">
      <c r="B141" s="31"/>
    </row>
    <row r="142" spans="2:2" x14ac:dyDescent="0.3">
      <c r="B142" s="31"/>
    </row>
    <row r="143" spans="2:2" x14ac:dyDescent="0.3">
      <c r="B143" s="31"/>
    </row>
    <row r="144" spans="2:2" x14ac:dyDescent="0.3">
      <c r="B144" s="31"/>
    </row>
    <row r="145" spans="2:2" x14ac:dyDescent="0.3">
      <c r="B145" s="31"/>
    </row>
    <row r="146" spans="2:2" x14ac:dyDescent="0.3">
      <c r="B146" s="31"/>
    </row>
    <row r="147" spans="2:2" x14ac:dyDescent="0.3">
      <c r="B147" s="31"/>
    </row>
    <row r="148" spans="2:2" x14ac:dyDescent="0.3">
      <c r="B148" s="31"/>
    </row>
    <row r="149" spans="2:2" x14ac:dyDescent="0.3">
      <c r="B149" s="31"/>
    </row>
    <row r="150" spans="2:2" x14ac:dyDescent="0.3">
      <c r="B150" s="31"/>
    </row>
    <row r="151" spans="2:2" x14ac:dyDescent="0.3">
      <c r="B151" s="31"/>
    </row>
    <row r="152" spans="2:2" x14ac:dyDescent="0.3">
      <c r="B152" s="31"/>
    </row>
    <row r="153" spans="2:2" x14ac:dyDescent="0.3">
      <c r="B153" s="31"/>
    </row>
    <row r="154" spans="2:2" x14ac:dyDescent="0.3">
      <c r="B154" s="31"/>
    </row>
    <row r="155" spans="2:2" x14ac:dyDescent="0.3">
      <c r="B155" s="31"/>
    </row>
    <row r="156" spans="2:2" x14ac:dyDescent="0.3">
      <c r="B156" s="31"/>
    </row>
    <row r="157" spans="2:2" x14ac:dyDescent="0.3">
      <c r="B157" s="31"/>
    </row>
    <row r="158" spans="2:2" x14ac:dyDescent="0.3">
      <c r="B158" s="31"/>
    </row>
    <row r="159" spans="2:2" x14ac:dyDescent="0.3">
      <c r="B159" s="31"/>
    </row>
    <row r="160" spans="2:2" x14ac:dyDescent="0.3">
      <c r="B160" s="31"/>
    </row>
    <row r="161" spans="2:2" x14ac:dyDescent="0.3">
      <c r="B161" s="31"/>
    </row>
    <row r="162" spans="2:2" x14ac:dyDescent="0.3">
      <c r="B162" s="31"/>
    </row>
    <row r="163" spans="2:2" x14ac:dyDescent="0.3">
      <c r="B163" s="31"/>
    </row>
    <row r="164" spans="2:2" x14ac:dyDescent="0.3">
      <c r="B164" s="31"/>
    </row>
    <row r="165" spans="2:2" x14ac:dyDescent="0.3">
      <c r="B165" s="31"/>
    </row>
    <row r="166" spans="2:2" x14ac:dyDescent="0.3">
      <c r="B166" s="31"/>
    </row>
    <row r="167" spans="2:2" x14ac:dyDescent="0.3">
      <c r="B167" s="31"/>
    </row>
    <row r="168" spans="2:2" x14ac:dyDescent="0.3">
      <c r="B168" s="31"/>
    </row>
    <row r="169" spans="2:2" x14ac:dyDescent="0.3">
      <c r="B169" s="31"/>
    </row>
    <row r="170" spans="2:2" x14ac:dyDescent="0.3">
      <c r="B170" s="31"/>
    </row>
    <row r="171" spans="2:2" x14ac:dyDescent="0.3">
      <c r="B171" s="31"/>
    </row>
    <row r="172" spans="2:2" x14ac:dyDescent="0.3">
      <c r="B172" s="31"/>
    </row>
    <row r="173" spans="2:2" x14ac:dyDescent="0.3">
      <c r="B173" s="31"/>
    </row>
    <row r="174" spans="2:2" x14ac:dyDescent="0.3">
      <c r="B174" s="31"/>
    </row>
    <row r="175" spans="2:2" x14ac:dyDescent="0.3">
      <c r="B175" s="31"/>
    </row>
    <row r="176" spans="2:2" x14ac:dyDescent="0.3">
      <c r="B176" s="31"/>
    </row>
    <row r="177" spans="2:2" x14ac:dyDescent="0.3">
      <c r="B177" s="31"/>
    </row>
    <row r="178" spans="2:2" x14ac:dyDescent="0.3">
      <c r="B178" s="31"/>
    </row>
    <row r="179" spans="2:2" x14ac:dyDescent="0.3">
      <c r="B179" s="31"/>
    </row>
    <row r="180" spans="2:2" x14ac:dyDescent="0.3">
      <c r="B180" s="31"/>
    </row>
    <row r="181" spans="2:2" x14ac:dyDescent="0.3">
      <c r="B181" s="31"/>
    </row>
    <row r="182" spans="2:2" x14ac:dyDescent="0.3">
      <c r="B182" s="31"/>
    </row>
    <row r="183" spans="2:2" x14ac:dyDescent="0.3">
      <c r="B183" s="31"/>
    </row>
    <row r="184" spans="2:2" x14ac:dyDescent="0.3">
      <c r="B184" s="31"/>
    </row>
    <row r="185" spans="2:2" x14ac:dyDescent="0.3">
      <c r="B185" s="31"/>
    </row>
    <row r="186" spans="2:2" x14ac:dyDescent="0.3">
      <c r="B186" s="31"/>
    </row>
    <row r="187" spans="2:2" x14ac:dyDescent="0.3">
      <c r="B187" s="31"/>
    </row>
    <row r="188" spans="2:2" x14ac:dyDescent="0.3">
      <c r="B188" s="31"/>
    </row>
    <row r="189" spans="2:2" x14ac:dyDescent="0.3">
      <c r="B189" s="31"/>
    </row>
    <row r="190" spans="2:2" x14ac:dyDescent="0.3">
      <c r="B190" s="31"/>
    </row>
    <row r="191" spans="2:2" x14ac:dyDescent="0.3">
      <c r="B191" s="31"/>
    </row>
    <row r="192" spans="2:2" x14ac:dyDescent="0.3">
      <c r="B192" s="31"/>
    </row>
    <row r="193" spans="2:2" x14ac:dyDescent="0.3">
      <c r="B193" s="31"/>
    </row>
    <row r="194" spans="2:2" x14ac:dyDescent="0.3">
      <c r="B194" s="31"/>
    </row>
    <row r="195" spans="2:2" x14ac:dyDescent="0.3">
      <c r="B195" s="31"/>
    </row>
    <row r="196" spans="2:2" x14ac:dyDescent="0.3">
      <c r="B196" s="31"/>
    </row>
    <row r="197" spans="2:2" x14ac:dyDescent="0.3">
      <c r="B197" s="31"/>
    </row>
    <row r="198" spans="2:2" x14ac:dyDescent="0.3">
      <c r="B198" s="31"/>
    </row>
    <row r="199" spans="2:2" x14ac:dyDescent="0.3">
      <c r="B199" s="31"/>
    </row>
    <row r="200" spans="2:2" x14ac:dyDescent="0.3">
      <c r="B200" s="31"/>
    </row>
    <row r="201" spans="2:2" x14ac:dyDescent="0.3">
      <c r="B201" s="31"/>
    </row>
    <row r="202" spans="2:2" x14ac:dyDescent="0.3">
      <c r="B202" s="31"/>
    </row>
    <row r="203" spans="2:2" x14ac:dyDescent="0.3">
      <c r="B203" s="31"/>
    </row>
    <row r="204" spans="2:2" x14ac:dyDescent="0.3">
      <c r="B204" s="31"/>
    </row>
    <row r="205" spans="2:2" x14ac:dyDescent="0.3">
      <c r="B205" s="31"/>
    </row>
    <row r="206" spans="2:2" x14ac:dyDescent="0.3">
      <c r="B206" s="31"/>
    </row>
    <row r="207" spans="2:2" x14ac:dyDescent="0.3">
      <c r="B207" s="31"/>
    </row>
    <row r="208" spans="2:2" x14ac:dyDescent="0.3">
      <c r="B208" s="31"/>
    </row>
    <row r="209" spans="2:2" x14ac:dyDescent="0.3">
      <c r="B209" s="31"/>
    </row>
    <row r="210" spans="2:2" x14ac:dyDescent="0.3">
      <c r="B210" s="31"/>
    </row>
    <row r="211" spans="2:2" x14ac:dyDescent="0.3">
      <c r="B211" s="31"/>
    </row>
    <row r="212" spans="2:2" x14ac:dyDescent="0.3">
      <c r="B212" s="31"/>
    </row>
    <row r="213" spans="2:2" x14ac:dyDescent="0.3">
      <c r="B213" s="31"/>
    </row>
    <row r="214" spans="2:2" x14ac:dyDescent="0.3">
      <c r="B214" s="31"/>
    </row>
    <row r="215" spans="2:2" x14ac:dyDescent="0.3">
      <c r="B215" s="31"/>
    </row>
    <row r="216" spans="2:2" x14ac:dyDescent="0.3">
      <c r="B216" s="31"/>
    </row>
    <row r="217" spans="2:2" x14ac:dyDescent="0.3">
      <c r="B217" s="31"/>
    </row>
    <row r="218" spans="2:2" x14ac:dyDescent="0.3">
      <c r="B218" s="31"/>
    </row>
    <row r="219" spans="2:2" x14ac:dyDescent="0.3">
      <c r="B219" s="31"/>
    </row>
    <row r="220" spans="2:2" x14ac:dyDescent="0.3">
      <c r="B220" s="31"/>
    </row>
    <row r="221" spans="2:2" x14ac:dyDescent="0.3">
      <c r="B221" s="31"/>
    </row>
    <row r="222" spans="2:2" x14ac:dyDescent="0.3">
      <c r="B222" s="31"/>
    </row>
    <row r="223" spans="2:2" x14ac:dyDescent="0.3">
      <c r="B223" s="31"/>
    </row>
    <row r="224" spans="2:2" x14ac:dyDescent="0.3">
      <c r="B224" s="31"/>
    </row>
    <row r="225" spans="2:2" x14ac:dyDescent="0.3">
      <c r="B225" s="31"/>
    </row>
    <row r="226" spans="2:2" x14ac:dyDescent="0.3">
      <c r="B226" s="31"/>
    </row>
    <row r="227" spans="2:2" x14ac:dyDescent="0.3">
      <c r="B227" s="31"/>
    </row>
    <row r="228" spans="2:2" x14ac:dyDescent="0.3">
      <c r="B228" s="31"/>
    </row>
    <row r="229" spans="2:2" x14ac:dyDescent="0.3">
      <c r="B229" s="31"/>
    </row>
    <row r="230" spans="2:2" x14ac:dyDescent="0.3">
      <c r="B230" s="31"/>
    </row>
    <row r="231" spans="2:2" x14ac:dyDescent="0.3">
      <c r="B231" s="31"/>
    </row>
    <row r="232" spans="2:2" x14ac:dyDescent="0.3">
      <c r="B232" s="31"/>
    </row>
    <row r="233" spans="2:2" x14ac:dyDescent="0.3">
      <c r="B233" s="31"/>
    </row>
    <row r="234" spans="2:2" x14ac:dyDescent="0.3">
      <c r="B234" s="31"/>
    </row>
    <row r="235" spans="2:2" x14ac:dyDescent="0.3">
      <c r="B235" s="31"/>
    </row>
    <row r="236" spans="2:2" x14ac:dyDescent="0.3">
      <c r="B236" s="31"/>
    </row>
    <row r="237" spans="2:2" x14ac:dyDescent="0.3">
      <c r="B237" s="31"/>
    </row>
    <row r="238" spans="2:2" x14ac:dyDescent="0.3">
      <c r="B238" s="31"/>
    </row>
    <row r="239" spans="2:2" x14ac:dyDescent="0.3">
      <c r="B239" s="31"/>
    </row>
    <row r="240" spans="2:2" x14ac:dyDescent="0.3">
      <c r="B240" s="31"/>
    </row>
    <row r="241" spans="2:2" x14ac:dyDescent="0.3">
      <c r="B241" s="31"/>
    </row>
    <row r="242" spans="2:2" x14ac:dyDescent="0.3">
      <c r="B242" s="31"/>
    </row>
    <row r="243" spans="2:2" x14ac:dyDescent="0.3">
      <c r="B243" s="31"/>
    </row>
    <row r="244" spans="2:2" x14ac:dyDescent="0.3">
      <c r="B244" s="31"/>
    </row>
    <row r="245" spans="2:2" x14ac:dyDescent="0.3">
      <c r="B245" s="31"/>
    </row>
    <row r="246" spans="2:2" x14ac:dyDescent="0.3">
      <c r="B246" s="31"/>
    </row>
    <row r="247" spans="2:2" x14ac:dyDescent="0.3">
      <c r="B247" s="31"/>
    </row>
    <row r="248" spans="2:2" x14ac:dyDescent="0.3">
      <c r="B248" s="31"/>
    </row>
    <row r="249" spans="2:2" x14ac:dyDescent="0.3">
      <c r="B249" s="31"/>
    </row>
    <row r="250" spans="2:2" x14ac:dyDescent="0.3">
      <c r="B250" s="31"/>
    </row>
    <row r="251" spans="2:2" x14ac:dyDescent="0.3">
      <c r="B251" s="31"/>
    </row>
    <row r="252" spans="2:2" x14ac:dyDescent="0.3">
      <c r="B252" s="31"/>
    </row>
    <row r="253" spans="2:2" x14ac:dyDescent="0.3">
      <c r="B253" s="31"/>
    </row>
    <row r="254" spans="2:2" x14ac:dyDescent="0.3">
      <c r="B254" s="31"/>
    </row>
    <row r="255" spans="2:2" x14ac:dyDescent="0.3">
      <c r="B255" s="31"/>
    </row>
    <row r="256" spans="2:2" x14ac:dyDescent="0.3">
      <c r="B256" s="31"/>
    </row>
    <row r="257" spans="2:2" x14ac:dyDescent="0.3">
      <c r="B257" s="31"/>
    </row>
    <row r="258" spans="2:2" x14ac:dyDescent="0.3">
      <c r="B258" s="31"/>
    </row>
    <row r="259" spans="2:2" x14ac:dyDescent="0.3">
      <c r="B259" s="31"/>
    </row>
    <row r="260" spans="2:2" x14ac:dyDescent="0.3">
      <c r="B260" s="31"/>
    </row>
    <row r="261" spans="2:2" x14ac:dyDescent="0.3">
      <c r="B261" s="31"/>
    </row>
    <row r="262" spans="2:2" x14ac:dyDescent="0.3">
      <c r="B262" s="31"/>
    </row>
    <row r="263" spans="2:2" x14ac:dyDescent="0.3">
      <c r="B263" s="31"/>
    </row>
    <row r="264" spans="2:2" x14ac:dyDescent="0.3">
      <c r="B264" s="31"/>
    </row>
    <row r="265" spans="2:2" x14ac:dyDescent="0.3">
      <c r="B265" s="31"/>
    </row>
    <row r="266" spans="2:2" x14ac:dyDescent="0.3">
      <c r="B266" s="31"/>
    </row>
    <row r="267" spans="2:2" x14ac:dyDescent="0.3">
      <c r="B267" s="31"/>
    </row>
    <row r="268" spans="2:2" x14ac:dyDescent="0.3">
      <c r="B268" s="31"/>
    </row>
    <row r="269" spans="2:2" x14ac:dyDescent="0.3">
      <c r="B269" s="31"/>
    </row>
    <row r="270" spans="2:2" x14ac:dyDescent="0.3">
      <c r="B270" s="31"/>
    </row>
    <row r="271" spans="2:2" x14ac:dyDescent="0.3">
      <c r="B271" s="31"/>
    </row>
    <row r="272" spans="2:2" x14ac:dyDescent="0.3">
      <c r="B272" s="31"/>
    </row>
    <row r="273" spans="2:2" x14ac:dyDescent="0.3">
      <c r="B273" s="31"/>
    </row>
    <row r="274" spans="2:2" x14ac:dyDescent="0.3">
      <c r="B274" s="31"/>
    </row>
    <row r="275" spans="2:2" x14ac:dyDescent="0.3">
      <c r="B275" s="31"/>
    </row>
    <row r="276" spans="2:2" x14ac:dyDescent="0.3">
      <c r="B276" s="31"/>
    </row>
    <row r="277" spans="2:2" x14ac:dyDescent="0.3">
      <c r="B277" s="31"/>
    </row>
    <row r="278" spans="2:2" x14ac:dyDescent="0.3">
      <c r="B278" s="31"/>
    </row>
    <row r="279" spans="2:2" x14ac:dyDescent="0.3">
      <c r="B279" s="31"/>
    </row>
    <row r="280" spans="2:2" x14ac:dyDescent="0.3">
      <c r="B280" s="31"/>
    </row>
    <row r="281" spans="2:2" x14ac:dyDescent="0.3">
      <c r="B281" s="31"/>
    </row>
    <row r="282" spans="2:2" x14ac:dyDescent="0.3">
      <c r="B282" s="31"/>
    </row>
    <row r="283" spans="2:2" x14ac:dyDescent="0.3">
      <c r="B283" s="31"/>
    </row>
    <row r="284" spans="2:2" x14ac:dyDescent="0.3">
      <c r="B284" s="31"/>
    </row>
    <row r="285" spans="2:2" x14ac:dyDescent="0.3">
      <c r="B285" s="31"/>
    </row>
    <row r="286" spans="2:2" x14ac:dyDescent="0.3">
      <c r="B286" s="31"/>
    </row>
    <row r="287" spans="2:2" x14ac:dyDescent="0.3">
      <c r="B287" s="31"/>
    </row>
    <row r="288" spans="2:2" x14ac:dyDescent="0.3">
      <c r="B288" s="31"/>
    </row>
    <row r="289" spans="2:2" x14ac:dyDescent="0.3">
      <c r="B289" s="31"/>
    </row>
    <row r="290" spans="2:2" x14ac:dyDescent="0.3">
      <c r="B290" s="31"/>
    </row>
    <row r="291" spans="2:2" x14ac:dyDescent="0.3">
      <c r="B291" s="31"/>
    </row>
    <row r="292" spans="2:2" x14ac:dyDescent="0.3">
      <c r="B292" s="31"/>
    </row>
    <row r="293" spans="2:2" x14ac:dyDescent="0.3">
      <c r="B293" s="31"/>
    </row>
    <row r="294" spans="2:2" x14ac:dyDescent="0.3">
      <c r="B294" s="31"/>
    </row>
    <row r="295" spans="2:2" x14ac:dyDescent="0.3">
      <c r="B295" s="31"/>
    </row>
    <row r="296" spans="2:2" x14ac:dyDescent="0.3">
      <c r="B296" s="31"/>
    </row>
    <row r="297" spans="2:2" x14ac:dyDescent="0.3">
      <c r="B297" s="31"/>
    </row>
    <row r="298" spans="2:2" x14ac:dyDescent="0.3">
      <c r="B298" s="31"/>
    </row>
    <row r="299" spans="2:2" x14ac:dyDescent="0.3">
      <c r="B299" s="31"/>
    </row>
    <row r="300" spans="2:2" x14ac:dyDescent="0.3">
      <c r="B300" s="31"/>
    </row>
    <row r="301" spans="2:2" x14ac:dyDescent="0.3">
      <c r="B301" s="31"/>
    </row>
    <row r="302" spans="2:2" x14ac:dyDescent="0.3">
      <c r="B302" s="31"/>
    </row>
    <row r="303" spans="2:2" x14ac:dyDescent="0.3">
      <c r="B303" s="31"/>
    </row>
    <row r="304" spans="2:2" x14ac:dyDescent="0.3">
      <c r="B304" s="31"/>
    </row>
    <row r="305" spans="2:2" x14ac:dyDescent="0.3">
      <c r="B305" s="31"/>
    </row>
    <row r="306" spans="2:2" x14ac:dyDescent="0.3">
      <c r="B306" s="31"/>
    </row>
    <row r="307" spans="2:2" x14ac:dyDescent="0.3">
      <c r="B307" s="31"/>
    </row>
    <row r="308" spans="2:2" x14ac:dyDescent="0.3">
      <c r="B308" s="31"/>
    </row>
    <row r="309" spans="2:2" x14ac:dyDescent="0.3">
      <c r="B309" s="31"/>
    </row>
    <row r="310" spans="2:2" x14ac:dyDescent="0.3">
      <c r="B310" s="31"/>
    </row>
    <row r="311" spans="2:2" x14ac:dyDescent="0.3">
      <c r="B311" s="31"/>
    </row>
    <row r="312" spans="2:2" x14ac:dyDescent="0.3">
      <c r="B312" s="31"/>
    </row>
    <row r="313" spans="2:2" x14ac:dyDescent="0.3">
      <c r="B313" s="31"/>
    </row>
    <row r="314" spans="2:2" x14ac:dyDescent="0.3">
      <c r="B314" s="31"/>
    </row>
    <row r="315" spans="2:2" x14ac:dyDescent="0.3">
      <c r="B315" s="31"/>
    </row>
    <row r="316" spans="2:2" x14ac:dyDescent="0.3">
      <c r="B316" s="31"/>
    </row>
    <row r="317" spans="2:2" x14ac:dyDescent="0.3">
      <c r="B317" s="31"/>
    </row>
    <row r="318" spans="2:2" x14ac:dyDescent="0.3">
      <c r="B318" s="31"/>
    </row>
    <row r="319" spans="2:2" x14ac:dyDescent="0.3">
      <c r="B319" s="31"/>
    </row>
    <row r="320" spans="2:2" x14ac:dyDescent="0.3">
      <c r="B320" s="31"/>
    </row>
    <row r="321" spans="2:2" x14ac:dyDescent="0.3">
      <c r="B321" s="31"/>
    </row>
    <row r="322" spans="2:2" x14ac:dyDescent="0.3">
      <c r="B322" s="31"/>
    </row>
    <row r="323" spans="2:2" x14ac:dyDescent="0.3">
      <c r="B323" s="31"/>
    </row>
    <row r="324" spans="2:2" x14ac:dyDescent="0.3">
      <c r="B324" s="31"/>
    </row>
    <row r="325" spans="2:2" x14ac:dyDescent="0.3">
      <c r="B325" s="31"/>
    </row>
    <row r="326" spans="2:2" x14ac:dyDescent="0.3">
      <c r="B326" s="31"/>
    </row>
    <row r="327" spans="2:2" x14ac:dyDescent="0.3">
      <c r="B327" s="31"/>
    </row>
    <row r="328" spans="2:2" x14ac:dyDescent="0.3">
      <c r="B328" s="31"/>
    </row>
    <row r="329" spans="2:2" x14ac:dyDescent="0.3">
      <c r="B329" s="31"/>
    </row>
    <row r="330" spans="2:2" x14ac:dyDescent="0.3">
      <c r="B330" s="31"/>
    </row>
    <row r="331" spans="2:2" x14ac:dyDescent="0.3">
      <c r="B331" s="31"/>
    </row>
    <row r="332" spans="2:2" x14ac:dyDescent="0.3">
      <c r="B332" s="31"/>
    </row>
    <row r="333" spans="2:2" x14ac:dyDescent="0.3">
      <c r="B333" s="31"/>
    </row>
    <row r="334" spans="2:2" x14ac:dyDescent="0.3">
      <c r="B334" s="31"/>
    </row>
    <row r="335" spans="2:2" x14ac:dyDescent="0.3">
      <c r="B335" s="31"/>
    </row>
    <row r="336" spans="2:2" x14ac:dyDescent="0.3">
      <c r="B336" s="31"/>
    </row>
    <row r="337" spans="2:2" x14ac:dyDescent="0.3">
      <c r="B337" s="31"/>
    </row>
    <row r="338" spans="2:2" x14ac:dyDescent="0.3">
      <c r="B338" s="31"/>
    </row>
    <row r="339" spans="2:2" x14ac:dyDescent="0.3">
      <c r="B339" s="31"/>
    </row>
    <row r="340" spans="2:2" x14ac:dyDescent="0.3">
      <c r="B340" s="31"/>
    </row>
    <row r="341" spans="2:2" x14ac:dyDescent="0.3">
      <c r="B341" s="31"/>
    </row>
    <row r="342" spans="2:2" x14ac:dyDescent="0.3">
      <c r="B342" s="31"/>
    </row>
    <row r="343" spans="2:2" x14ac:dyDescent="0.3">
      <c r="B343" s="31"/>
    </row>
    <row r="344" spans="2:2" x14ac:dyDescent="0.3">
      <c r="B344" s="31"/>
    </row>
    <row r="345" spans="2:2" x14ac:dyDescent="0.3">
      <c r="B345" s="31"/>
    </row>
    <row r="346" spans="2:2" x14ac:dyDescent="0.3">
      <c r="B346" s="31"/>
    </row>
    <row r="347" spans="2:2" x14ac:dyDescent="0.3">
      <c r="B347" s="31"/>
    </row>
    <row r="348" spans="2:2" x14ac:dyDescent="0.3">
      <c r="B348" s="31"/>
    </row>
    <row r="349" spans="2:2" x14ac:dyDescent="0.3">
      <c r="B349" s="31"/>
    </row>
    <row r="350" spans="2:2" x14ac:dyDescent="0.3">
      <c r="B350" s="31"/>
    </row>
    <row r="351" spans="2:2" x14ac:dyDescent="0.3">
      <c r="B351" s="31"/>
    </row>
    <row r="352" spans="2:2" x14ac:dyDescent="0.3">
      <c r="B352" s="31"/>
    </row>
    <row r="353" spans="2:2" x14ac:dyDescent="0.3">
      <c r="B353" s="31"/>
    </row>
    <row r="354" spans="2:2" x14ac:dyDescent="0.3">
      <c r="B354" s="31"/>
    </row>
    <row r="355" spans="2:2" x14ac:dyDescent="0.3">
      <c r="B355" s="31"/>
    </row>
    <row r="356" spans="2:2" x14ac:dyDescent="0.3">
      <c r="B356" s="31"/>
    </row>
    <row r="357" spans="2:2" x14ac:dyDescent="0.3">
      <c r="B357" s="31"/>
    </row>
    <row r="358" spans="2:2" x14ac:dyDescent="0.3">
      <c r="B358" s="31"/>
    </row>
    <row r="359" spans="2:2" x14ac:dyDescent="0.3">
      <c r="B359" s="31"/>
    </row>
    <row r="360" spans="2:2" x14ac:dyDescent="0.3">
      <c r="B360" s="31"/>
    </row>
    <row r="361" spans="2:2" x14ac:dyDescent="0.3">
      <c r="B361" s="31"/>
    </row>
    <row r="362" spans="2:2" x14ac:dyDescent="0.3">
      <c r="B362" s="31"/>
    </row>
    <row r="363" spans="2:2" x14ac:dyDescent="0.3">
      <c r="B363" s="31"/>
    </row>
    <row r="364" spans="2:2" x14ac:dyDescent="0.3">
      <c r="B364" s="31"/>
    </row>
    <row r="365" spans="2:2" x14ac:dyDescent="0.3">
      <c r="B365" s="31"/>
    </row>
    <row r="366" spans="2:2" x14ac:dyDescent="0.3">
      <c r="B366" s="31"/>
    </row>
    <row r="367" spans="2:2" x14ac:dyDescent="0.3">
      <c r="B367" s="31"/>
    </row>
    <row r="368" spans="2:2" x14ac:dyDescent="0.3">
      <c r="B368" s="31"/>
    </row>
    <row r="369" spans="2:2" x14ac:dyDescent="0.3">
      <c r="B369" s="31"/>
    </row>
    <row r="370" spans="2:2" x14ac:dyDescent="0.3">
      <c r="B370" s="31"/>
    </row>
    <row r="371" spans="2:2" x14ac:dyDescent="0.3">
      <c r="B371" s="31"/>
    </row>
    <row r="372" spans="2:2" x14ac:dyDescent="0.3">
      <c r="B372" s="31"/>
    </row>
    <row r="373" spans="2:2" x14ac:dyDescent="0.3">
      <c r="B373" s="31"/>
    </row>
    <row r="374" spans="2:2" x14ac:dyDescent="0.3">
      <c r="B374" s="31"/>
    </row>
    <row r="375" spans="2:2" x14ac:dyDescent="0.3">
      <c r="B375" s="31"/>
    </row>
    <row r="376" spans="2:2" x14ac:dyDescent="0.3">
      <c r="B376" s="31"/>
    </row>
    <row r="377" spans="2:2" x14ac:dyDescent="0.3">
      <c r="B377" s="31"/>
    </row>
    <row r="378" spans="2:2" x14ac:dyDescent="0.3">
      <c r="B378" s="31"/>
    </row>
    <row r="379" spans="2:2" x14ac:dyDescent="0.3">
      <c r="B379" s="31"/>
    </row>
    <row r="380" spans="2:2" x14ac:dyDescent="0.3">
      <c r="B380" s="31"/>
    </row>
    <row r="381" spans="2:2" x14ac:dyDescent="0.3">
      <c r="B381" s="31"/>
    </row>
    <row r="382" spans="2:2" x14ac:dyDescent="0.3">
      <c r="B382" s="31"/>
    </row>
    <row r="383" spans="2:2" x14ac:dyDescent="0.3">
      <c r="B383" s="31"/>
    </row>
    <row r="384" spans="2:2" x14ac:dyDescent="0.3">
      <c r="B384" s="31"/>
    </row>
    <row r="385" spans="2:2" x14ac:dyDescent="0.3">
      <c r="B385" s="31"/>
    </row>
    <row r="386" spans="2:2" x14ac:dyDescent="0.3">
      <c r="B386" s="31"/>
    </row>
    <row r="387" spans="2:2" x14ac:dyDescent="0.3">
      <c r="B387" s="31"/>
    </row>
    <row r="388" spans="2:2" x14ac:dyDescent="0.3">
      <c r="B388" s="31"/>
    </row>
    <row r="389" spans="2:2" x14ac:dyDescent="0.3">
      <c r="B389" s="31"/>
    </row>
    <row r="390" spans="2:2" x14ac:dyDescent="0.3">
      <c r="B390" s="31"/>
    </row>
    <row r="391" spans="2:2" x14ac:dyDescent="0.3">
      <c r="B391" s="31"/>
    </row>
    <row r="392" spans="2:2" x14ac:dyDescent="0.3">
      <c r="B392" s="31"/>
    </row>
    <row r="393" spans="2:2" x14ac:dyDescent="0.3">
      <c r="B393" s="31"/>
    </row>
    <row r="394" spans="2:2" x14ac:dyDescent="0.3">
      <c r="B394" s="31"/>
    </row>
    <row r="395" spans="2:2" x14ac:dyDescent="0.3">
      <c r="B395" s="31"/>
    </row>
    <row r="396" spans="2:2" x14ac:dyDescent="0.3">
      <c r="B396" s="31"/>
    </row>
    <row r="397" spans="2:2" x14ac:dyDescent="0.3">
      <c r="B397" s="31"/>
    </row>
    <row r="398" spans="2:2" x14ac:dyDescent="0.3">
      <c r="B398" s="31"/>
    </row>
    <row r="399" spans="2:2" x14ac:dyDescent="0.3">
      <c r="B399" s="31"/>
    </row>
    <row r="400" spans="2:2" x14ac:dyDescent="0.3">
      <c r="B400" s="31"/>
    </row>
    <row r="401" spans="2:2" x14ac:dyDescent="0.3">
      <c r="B401" s="31"/>
    </row>
    <row r="402" spans="2:2" x14ac:dyDescent="0.3">
      <c r="B402" s="31"/>
    </row>
    <row r="403" spans="2:2" x14ac:dyDescent="0.3">
      <c r="B403" s="31"/>
    </row>
    <row r="404" spans="2:2" x14ac:dyDescent="0.3">
      <c r="B404" s="31"/>
    </row>
    <row r="405" spans="2:2" x14ac:dyDescent="0.3">
      <c r="B405" s="31"/>
    </row>
    <row r="406" spans="2:2" x14ac:dyDescent="0.3">
      <c r="B406" s="31"/>
    </row>
    <row r="407" spans="2:2" x14ac:dyDescent="0.3">
      <c r="B407" s="31"/>
    </row>
    <row r="408" spans="2:2" x14ac:dyDescent="0.3">
      <c r="B408" s="31"/>
    </row>
    <row r="409" spans="2:2" x14ac:dyDescent="0.3">
      <c r="B409" s="31"/>
    </row>
    <row r="410" spans="2:2" x14ac:dyDescent="0.3">
      <c r="B410" s="31"/>
    </row>
    <row r="411" spans="2:2" x14ac:dyDescent="0.3">
      <c r="B411" s="31"/>
    </row>
    <row r="412" spans="2:2" x14ac:dyDescent="0.3">
      <c r="B412" s="31"/>
    </row>
    <row r="413" spans="2:2" x14ac:dyDescent="0.3">
      <c r="B413" s="31"/>
    </row>
    <row r="414" spans="2:2" x14ac:dyDescent="0.3">
      <c r="B414" s="31"/>
    </row>
    <row r="415" spans="2:2" x14ac:dyDescent="0.3">
      <c r="B415" s="31"/>
    </row>
    <row r="416" spans="2:2" x14ac:dyDescent="0.3">
      <c r="B416" s="31"/>
    </row>
    <row r="417" spans="2:2" x14ac:dyDescent="0.3">
      <c r="B417" s="31"/>
    </row>
    <row r="418" spans="2:2" x14ac:dyDescent="0.3">
      <c r="B418" s="31"/>
    </row>
    <row r="419" spans="2:2" x14ac:dyDescent="0.3">
      <c r="B419" s="31"/>
    </row>
    <row r="420" spans="2:2" x14ac:dyDescent="0.3">
      <c r="B420" s="31"/>
    </row>
    <row r="421" spans="2:2" x14ac:dyDescent="0.3">
      <c r="B421" s="31"/>
    </row>
    <row r="422" spans="2:2" x14ac:dyDescent="0.3">
      <c r="B422" s="31"/>
    </row>
    <row r="423" spans="2:2" x14ac:dyDescent="0.3">
      <c r="B423" s="31"/>
    </row>
    <row r="424" spans="2:2" x14ac:dyDescent="0.3">
      <c r="B424" s="31"/>
    </row>
    <row r="425" spans="2:2" x14ac:dyDescent="0.3">
      <c r="B425" s="31"/>
    </row>
    <row r="426" spans="2:2" x14ac:dyDescent="0.3">
      <c r="B426" s="31"/>
    </row>
    <row r="427" spans="2:2" x14ac:dyDescent="0.3">
      <c r="B427" s="31"/>
    </row>
    <row r="428" spans="2:2" x14ac:dyDescent="0.3">
      <c r="B428" s="31"/>
    </row>
    <row r="429" spans="2:2" x14ac:dyDescent="0.3">
      <c r="B429" s="31"/>
    </row>
    <row r="430" spans="2:2" x14ac:dyDescent="0.3">
      <c r="B430" s="31"/>
    </row>
    <row r="431" spans="2:2" x14ac:dyDescent="0.3">
      <c r="B431" s="31"/>
    </row>
    <row r="432" spans="2:2" x14ac:dyDescent="0.3">
      <c r="B432" s="31"/>
    </row>
    <row r="433" spans="2:2" x14ac:dyDescent="0.3">
      <c r="B433" s="31"/>
    </row>
    <row r="434" spans="2:2" x14ac:dyDescent="0.3">
      <c r="B434" s="31"/>
    </row>
    <row r="435" spans="2:2" x14ac:dyDescent="0.3">
      <c r="B435" s="31"/>
    </row>
    <row r="436" spans="2:2" x14ac:dyDescent="0.3">
      <c r="B436" s="31"/>
    </row>
    <row r="437" spans="2:2" x14ac:dyDescent="0.3">
      <c r="B437" s="31"/>
    </row>
    <row r="438" spans="2:2" x14ac:dyDescent="0.3">
      <c r="B438" s="31"/>
    </row>
    <row r="439" spans="2:2" x14ac:dyDescent="0.3">
      <c r="B439" s="31"/>
    </row>
    <row r="440" spans="2:2" x14ac:dyDescent="0.3">
      <c r="B440" s="31"/>
    </row>
    <row r="441" spans="2:2" x14ac:dyDescent="0.3">
      <c r="B441" s="31"/>
    </row>
    <row r="442" spans="2:2" x14ac:dyDescent="0.3">
      <c r="B442" s="31"/>
    </row>
    <row r="443" spans="2:2" x14ac:dyDescent="0.3">
      <c r="B443" s="31"/>
    </row>
    <row r="444" spans="2:2" x14ac:dyDescent="0.3">
      <c r="B444" s="31"/>
    </row>
    <row r="445" spans="2:2" x14ac:dyDescent="0.3">
      <c r="B445" s="31"/>
    </row>
    <row r="446" spans="2:2" x14ac:dyDescent="0.3">
      <c r="B446" s="31"/>
    </row>
    <row r="447" spans="2:2" x14ac:dyDescent="0.3">
      <c r="B447" s="31"/>
    </row>
    <row r="448" spans="2:2" x14ac:dyDescent="0.3">
      <c r="B448" s="31"/>
    </row>
    <row r="449" spans="2:2" x14ac:dyDescent="0.3">
      <c r="B449" s="31"/>
    </row>
    <row r="450" spans="2:2" x14ac:dyDescent="0.3">
      <c r="B450" s="31"/>
    </row>
    <row r="451" spans="2:2" x14ac:dyDescent="0.3">
      <c r="B451" s="31"/>
    </row>
    <row r="452" spans="2:2" x14ac:dyDescent="0.3">
      <c r="B452" s="31"/>
    </row>
    <row r="453" spans="2:2" x14ac:dyDescent="0.3">
      <c r="B453" s="31"/>
    </row>
    <row r="454" spans="2:2" x14ac:dyDescent="0.3">
      <c r="B454" s="31"/>
    </row>
    <row r="455" spans="2:2" x14ac:dyDescent="0.3">
      <c r="B455" s="31"/>
    </row>
    <row r="456" spans="2:2" x14ac:dyDescent="0.3">
      <c r="B456" s="31"/>
    </row>
    <row r="457" spans="2:2" x14ac:dyDescent="0.3">
      <c r="B457" s="31"/>
    </row>
    <row r="458" spans="2:2" x14ac:dyDescent="0.3">
      <c r="B458" s="31"/>
    </row>
    <row r="459" spans="2:2" x14ac:dyDescent="0.3">
      <c r="B459" s="31"/>
    </row>
    <row r="460" spans="2:2" x14ac:dyDescent="0.3">
      <c r="B460" s="31"/>
    </row>
    <row r="461" spans="2:2" x14ac:dyDescent="0.3">
      <c r="B461" s="31"/>
    </row>
    <row r="462" spans="2:2" x14ac:dyDescent="0.3">
      <c r="B462" s="31"/>
    </row>
    <row r="463" spans="2:2" x14ac:dyDescent="0.3">
      <c r="B463" s="31"/>
    </row>
    <row r="464" spans="2:2" x14ac:dyDescent="0.3">
      <c r="B464" s="31"/>
    </row>
    <row r="465" spans="2:2" x14ac:dyDescent="0.3">
      <c r="B465" s="31"/>
    </row>
    <row r="466" spans="2:2" x14ac:dyDescent="0.3">
      <c r="B466" s="31"/>
    </row>
    <row r="467" spans="2:2" x14ac:dyDescent="0.3">
      <c r="B467" s="31"/>
    </row>
    <row r="468" spans="2:2" x14ac:dyDescent="0.3">
      <c r="B468" s="31"/>
    </row>
    <row r="469" spans="2:2" x14ac:dyDescent="0.3">
      <c r="B469" s="31"/>
    </row>
    <row r="470" spans="2:2" x14ac:dyDescent="0.3">
      <c r="B470" s="31"/>
    </row>
    <row r="471" spans="2:2" x14ac:dyDescent="0.3">
      <c r="B471" s="31"/>
    </row>
    <row r="472" spans="2:2" x14ac:dyDescent="0.3">
      <c r="B472" s="31"/>
    </row>
    <row r="473" spans="2:2" x14ac:dyDescent="0.3">
      <c r="B473" s="31"/>
    </row>
    <row r="474" spans="2:2" x14ac:dyDescent="0.3">
      <c r="B474" s="31"/>
    </row>
    <row r="475" spans="2:2" x14ac:dyDescent="0.3">
      <c r="B475" s="31"/>
    </row>
    <row r="476" spans="2:2" x14ac:dyDescent="0.3">
      <c r="B476" s="31"/>
    </row>
    <row r="477" spans="2:2" x14ac:dyDescent="0.3">
      <c r="B477" s="31"/>
    </row>
    <row r="478" spans="2:2" x14ac:dyDescent="0.3">
      <c r="B478" s="31"/>
    </row>
    <row r="479" spans="2:2" x14ac:dyDescent="0.3">
      <c r="B479" s="31"/>
    </row>
    <row r="480" spans="2:2" x14ac:dyDescent="0.3">
      <c r="B480" s="31"/>
    </row>
    <row r="481" spans="2:2" x14ac:dyDescent="0.3">
      <c r="B481" s="31"/>
    </row>
    <row r="482" spans="2:2" x14ac:dyDescent="0.3">
      <c r="B482" s="31"/>
    </row>
    <row r="483" spans="2:2" x14ac:dyDescent="0.3">
      <c r="B483" s="31"/>
    </row>
    <row r="484" spans="2:2" x14ac:dyDescent="0.3">
      <c r="B484" s="31"/>
    </row>
    <row r="485" spans="2:2" x14ac:dyDescent="0.3">
      <c r="B485" s="31"/>
    </row>
    <row r="486" spans="2:2" x14ac:dyDescent="0.3">
      <c r="B486" s="31"/>
    </row>
    <row r="487" spans="2:2" x14ac:dyDescent="0.3">
      <c r="B487" s="31"/>
    </row>
    <row r="488" spans="2:2" x14ac:dyDescent="0.3">
      <c r="B488" s="31"/>
    </row>
    <row r="489" spans="2:2" x14ac:dyDescent="0.3">
      <c r="B489" s="31"/>
    </row>
    <row r="490" spans="2:2" x14ac:dyDescent="0.3">
      <c r="B490" s="31"/>
    </row>
    <row r="491" spans="2:2" x14ac:dyDescent="0.3">
      <c r="B491" s="31"/>
    </row>
    <row r="492" spans="2:2" x14ac:dyDescent="0.3">
      <c r="B492" s="31"/>
    </row>
    <row r="493" spans="2:2" x14ac:dyDescent="0.3">
      <c r="B493" s="31"/>
    </row>
    <row r="494" spans="2:2" x14ac:dyDescent="0.3">
      <c r="B494" s="31"/>
    </row>
    <row r="495" spans="2:2" x14ac:dyDescent="0.3">
      <c r="B495" s="31"/>
    </row>
    <row r="496" spans="2:2" x14ac:dyDescent="0.3">
      <c r="B496" s="31"/>
    </row>
    <row r="497" spans="2:2" x14ac:dyDescent="0.3">
      <c r="B497" s="31"/>
    </row>
    <row r="498" spans="2:2" x14ac:dyDescent="0.3">
      <c r="B498" s="31"/>
    </row>
    <row r="499" spans="2:2" x14ac:dyDescent="0.3">
      <c r="B499" s="31"/>
    </row>
    <row r="500" spans="2:2" x14ac:dyDescent="0.3">
      <c r="B500" s="31"/>
    </row>
    <row r="501" spans="2:2" x14ac:dyDescent="0.3">
      <c r="B501" s="31"/>
    </row>
    <row r="502" spans="2:2" x14ac:dyDescent="0.3">
      <c r="B502" s="31"/>
    </row>
    <row r="503" spans="2:2" x14ac:dyDescent="0.3">
      <c r="B503" s="31"/>
    </row>
    <row r="504" spans="2:2" x14ac:dyDescent="0.3">
      <c r="B504" s="31"/>
    </row>
    <row r="505" spans="2:2" x14ac:dyDescent="0.3">
      <c r="B505" s="31"/>
    </row>
    <row r="506" spans="2:2" x14ac:dyDescent="0.3">
      <c r="B506" s="31"/>
    </row>
    <row r="507" spans="2:2" x14ac:dyDescent="0.3">
      <c r="B507" s="31"/>
    </row>
    <row r="508" spans="2:2" x14ac:dyDescent="0.3">
      <c r="B508" s="31"/>
    </row>
    <row r="509" spans="2:2" x14ac:dyDescent="0.3">
      <c r="B509" s="31"/>
    </row>
    <row r="510" spans="2:2" x14ac:dyDescent="0.3">
      <c r="B510" s="31"/>
    </row>
    <row r="511" spans="2:2" x14ac:dyDescent="0.3">
      <c r="B511" s="31"/>
    </row>
    <row r="512" spans="2:2" x14ac:dyDescent="0.3">
      <c r="B512" s="31"/>
    </row>
    <row r="513" spans="2:2" x14ac:dyDescent="0.3">
      <c r="B513" s="31"/>
    </row>
    <row r="514" spans="2:2" x14ac:dyDescent="0.3">
      <c r="B514" s="31"/>
    </row>
    <row r="515" spans="2:2" x14ac:dyDescent="0.3">
      <c r="B515" s="31"/>
    </row>
    <row r="516" spans="2:2" x14ac:dyDescent="0.3">
      <c r="B516" s="31"/>
    </row>
    <row r="517" spans="2:2" x14ac:dyDescent="0.3">
      <c r="B517" s="31"/>
    </row>
    <row r="518" spans="2:2" x14ac:dyDescent="0.3">
      <c r="B518" s="31"/>
    </row>
    <row r="519" spans="2:2" x14ac:dyDescent="0.3">
      <c r="B519" s="31"/>
    </row>
    <row r="520" spans="2:2" x14ac:dyDescent="0.3">
      <c r="B520" s="31"/>
    </row>
    <row r="521" spans="2:2" x14ac:dyDescent="0.3">
      <c r="B521" s="31"/>
    </row>
    <row r="522" spans="2:2" x14ac:dyDescent="0.3">
      <c r="B522" s="31"/>
    </row>
    <row r="523" spans="2:2" x14ac:dyDescent="0.3">
      <c r="B523" s="31"/>
    </row>
    <row r="524" spans="2:2" x14ac:dyDescent="0.3">
      <c r="B524" s="31"/>
    </row>
    <row r="525" spans="2:2" x14ac:dyDescent="0.3">
      <c r="B525" s="31"/>
    </row>
    <row r="526" spans="2:2" x14ac:dyDescent="0.3">
      <c r="B526" s="31"/>
    </row>
    <row r="527" spans="2:2" x14ac:dyDescent="0.3">
      <c r="B527" s="31"/>
    </row>
    <row r="528" spans="2:2" x14ac:dyDescent="0.3">
      <c r="B528" s="31"/>
    </row>
    <row r="529" spans="2:2" x14ac:dyDescent="0.3">
      <c r="B529" s="31"/>
    </row>
    <row r="530" spans="2:2" x14ac:dyDescent="0.3">
      <c r="B530" s="31"/>
    </row>
    <row r="531" spans="2:2" x14ac:dyDescent="0.3">
      <c r="B531" s="31"/>
    </row>
    <row r="532" spans="2:2" x14ac:dyDescent="0.3">
      <c r="B532" s="31"/>
    </row>
    <row r="533" spans="2:2" x14ac:dyDescent="0.3">
      <c r="B533" s="31"/>
    </row>
    <row r="534" spans="2:2" x14ac:dyDescent="0.3">
      <c r="B534" s="31"/>
    </row>
    <row r="535" spans="2:2" x14ac:dyDescent="0.3">
      <c r="B535" s="31"/>
    </row>
    <row r="536" spans="2:2" x14ac:dyDescent="0.3">
      <c r="B536" s="31"/>
    </row>
    <row r="537" spans="2:2" x14ac:dyDescent="0.3">
      <c r="B537" s="31"/>
    </row>
    <row r="538" spans="2:2" x14ac:dyDescent="0.3">
      <c r="B538" s="31"/>
    </row>
    <row r="539" spans="2:2" x14ac:dyDescent="0.3">
      <c r="B539" s="31"/>
    </row>
    <row r="540" spans="2:2" x14ac:dyDescent="0.3">
      <c r="B540" s="31"/>
    </row>
    <row r="541" spans="2:2" x14ac:dyDescent="0.3">
      <c r="B541" s="31"/>
    </row>
    <row r="542" spans="2:2" x14ac:dyDescent="0.3">
      <c r="B542" s="31"/>
    </row>
    <row r="543" spans="2:2" x14ac:dyDescent="0.3">
      <c r="B543" s="31"/>
    </row>
    <row r="544" spans="2:2" x14ac:dyDescent="0.3">
      <c r="B544" s="31"/>
    </row>
    <row r="545" spans="2:2" x14ac:dyDescent="0.3">
      <c r="B545" s="31"/>
    </row>
    <row r="546" spans="2:2" x14ac:dyDescent="0.3">
      <c r="B546" s="31"/>
    </row>
    <row r="547" spans="2:2" x14ac:dyDescent="0.3">
      <c r="B547" s="31"/>
    </row>
    <row r="548" spans="2:2" x14ac:dyDescent="0.3">
      <c r="B548" s="31"/>
    </row>
    <row r="549" spans="2:2" x14ac:dyDescent="0.3">
      <c r="B549" s="31"/>
    </row>
    <row r="550" spans="2:2" x14ac:dyDescent="0.3">
      <c r="B550" s="31"/>
    </row>
    <row r="551" spans="2:2" x14ac:dyDescent="0.3">
      <c r="B551" s="31"/>
    </row>
    <row r="552" spans="2:2" x14ac:dyDescent="0.3">
      <c r="B552" s="31"/>
    </row>
    <row r="553" spans="2:2" x14ac:dyDescent="0.3">
      <c r="B553" s="31"/>
    </row>
    <row r="554" spans="2:2" x14ac:dyDescent="0.3">
      <c r="B554" s="31"/>
    </row>
    <row r="555" spans="2:2" x14ac:dyDescent="0.3">
      <c r="B555" s="31"/>
    </row>
    <row r="556" spans="2:2" x14ac:dyDescent="0.3">
      <c r="B556" s="31"/>
    </row>
    <row r="557" spans="2:2" x14ac:dyDescent="0.3">
      <c r="B557" s="31"/>
    </row>
    <row r="558" spans="2:2" x14ac:dyDescent="0.3">
      <c r="B558" s="31"/>
    </row>
    <row r="559" spans="2:2" x14ac:dyDescent="0.3">
      <c r="B559" s="31"/>
    </row>
    <row r="560" spans="2:2" x14ac:dyDescent="0.3">
      <c r="B560" s="31"/>
    </row>
    <row r="561" spans="2:2" x14ac:dyDescent="0.3">
      <c r="B561" s="31"/>
    </row>
    <row r="562" spans="2:2" x14ac:dyDescent="0.3">
      <c r="B562" s="31"/>
    </row>
    <row r="563" spans="2:2" x14ac:dyDescent="0.3">
      <c r="B563" s="31"/>
    </row>
    <row r="564" spans="2:2" x14ac:dyDescent="0.3">
      <c r="B564" s="31"/>
    </row>
    <row r="565" spans="2:2" x14ac:dyDescent="0.3">
      <c r="B565" s="31"/>
    </row>
  </sheetData>
  <mergeCells count="2">
    <mergeCell ref="A1:A2"/>
    <mergeCell ref="C1:BB1"/>
  </mergeCells>
  <conditionalFormatting sqref="A1:XFD1048576">
    <cfRule type="containsText" dxfId="1" priority="1" operator="containsText" text="FK_EINTRAGUNGID">
      <formula>NOT(ISERROR(SEARCH("FK_EINTRAGUNGID",A1)))</formula>
    </cfRule>
    <cfRule type="containsText" dxfId="0" priority="2" operator="containsText" text="EINTRAGUNGSSTATUS">
      <formula>NOT(ISERROR(SEARCH("EINTRAGUNGSSTATUS",A1)))</formula>
    </cfRule>
  </conditionalFormatting>
  <printOptions gridLines="1"/>
  <pageMargins left="0.23622047244094491" right="0.23622047244094491" top="0.35433070866141736" bottom="0.35433070866141736" header="0" footer="0"/>
  <pageSetup paperSize="9" scale="5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9"/>
  <dimension ref="B1:I40"/>
  <sheetViews>
    <sheetView showGridLines="0" zoomScaleNormal="100" workbookViewId="0">
      <selection sqref="A1:XFD1048576"/>
    </sheetView>
  </sheetViews>
  <sheetFormatPr baseColWidth="10" defaultRowHeight="10.199999999999999" x14ac:dyDescent="0.2"/>
  <cols>
    <col min="1" max="1" width="1.44140625" style="113" customWidth="1"/>
    <col min="2" max="2" width="3.5546875" style="113" customWidth="1"/>
    <col min="3" max="3" width="13.44140625" style="113" customWidth="1"/>
    <col min="4" max="4" width="18.44140625" style="113" customWidth="1"/>
    <col min="5" max="5" width="28.88671875" style="113" bestFit="1" customWidth="1"/>
    <col min="6" max="6" width="24.88671875" style="113" customWidth="1"/>
    <col min="7" max="7" width="20.109375" style="113" customWidth="1"/>
    <col min="8" max="8" width="20.88671875" style="113" customWidth="1"/>
    <col min="9" max="9" width="22" style="113" customWidth="1"/>
    <col min="10" max="10" width="2.77734375" style="113" customWidth="1"/>
    <col min="11" max="12" width="4.77734375" style="113" customWidth="1"/>
    <col min="13" max="13" width="18.33203125" style="113" bestFit="1" customWidth="1"/>
    <col min="14" max="16384" width="11.5546875" style="113"/>
  </cols>
  <sheetData>
    <row r="1" spans="2:9" ht="13.8" x14ac:dyDescent="0.3">
      <c r="C1" s="114" t="s">
        <v>229</v>
      </c>
    </row>
    <row r="2" spans="2:9" ht="10.8" thickBot="1" x14ac:dyDescent="0.25"/>
    <row r="3" spans="2:9" ht="15" customHeight="1" thickBot="1" x14ac:dyDescent="0.35">
      <c r="B3" s="583" t="s">
        <v>228</v>
      </c>
      <c r="C3" s="584"/>
      <c r="D3" s="584"/>
      <c r="E3" s="584"/>
      <c r="F3" s="584"/>
      <c r="G3" s="585"/>
      <c r="H3" s="269" t="s">
        <v>221</v>
      </c>
      <c r="I3" s="269" t="s">
        <v>225</v>
      </c>
    </row>
    <row r="4" spans="2:9" ht="15" thickBot="1" x14ac:dyDescent="0.35">
      <c r="B4" s="115" t="s">
        <v>232</v>
      </c>
      <c r="C4" s="116"/>
      <c r="D4" s="117"/>
      <c r="E4" s="117"/>
      <c r="F4" s="117"/>
      <c r="G4" s="118"/>
    </row>
    <row r="5" spans="2:9" x14ac:dyDescent="0.2">
      <c r="B5" s="119"/>
      <c r="C5" s="257" t="s">
        <v>218</v>
      </c>
      <c r="D5" s="258"/>
      <c r="E5" s="259"/>
      <c r="F5" s="259"/>
      <c r="G5" s="260"/>
      <c r="H5" s="120" t="s">
        <v>217</v>
      </c>
      <c r="I5" s="121" t="s">
        <v>226</v>
      </c>
    </row>
    <row r="6" spans="2:9" ht="12" x14ac:dyDescent="0.2">
      <c r="B6" s="122"/>
      <c r="C6" s="123" t="s">
        <v>220</v>
      </c>
      <c r="D6" s="124"/>
      <c r="E6" s="124"/>
      <c r="F6" s="124"/>
      <c r="G6" s="125"/>
      <c r="H6" s="126" t="s">
        <v>219</v>
      </c>
      <c r="I6" s="577" t="s">
        <v>227</v>
      </c>
    </row>
    <row r="7" spans="2:9" x14ac:dyDescent="0.2">
      <c r="B7" s="122"/>
      <c r="C7" s="123"/>
      <c r="D7" s="124"/>
      <c r="E7" s="124"/>
      <c r="F7" s="127"/>
      <c r="G7" s="128" t="s">
        <v>190</v>
      </c>
      <c r="H7" s="129" t="s">
        <v>189</v>
      </c>
      <c r="I7" s="578"/>
    </row>
    <row r="8" spans="2:9" x14ac:dyDescent="0.2">
      <c r="B8" s="122"/>
      <c r="C8" s="261" t="s">
        <v>296</v>
      </c>
      <c r="D8" s="130"/>
      <c r="E8" s="130"/>
      <c r="F8" s="236" t="s">
        <v>219</v>
      </c>
      <c r="G8" s="262"/>
    </row>
    <row r="9" spans="2:9" x14ac:dyDescent="0.2">
      <c r="B9" s="122"/>
      <c r="C9" s="263"/>
      <c r="D9" s="222"/>
      <c r="E9" s="222"/>
      <c r="F9" s="235" t="s">
        <v>217</v>
      </c>
      <c r="G9" s="264"/>
    </row>
    <row r="10" spans="2:9" x14ac:dyDescent="0.2">
      <c r="B10" s="122"/>
      <c r="C10" s="265" t="s">
        <v>216</v>
      </c>
      <c r="D10" s="223"/>
      <c r="E10" s="223"/>
      <c r="F10" s="223"/>
      <c r="G10" s="266"/>
      <c r="H10" s="223" t="s">
        <v>215</v>
      </c>
      <c r="I10" s="577" t="s">
        <v>227</v>
      </c>
    </row>
    <row r="11" spans="2:9" ht="10.8" thickBot="1" x14ac:dyDescent="0.25">
      <c r="B11" s="122"/>
      <c r="C11" s="267"/>
      <c r="D11" s="268"/>
      <c r="E11" s="268"/>
      <c r="F11" s="268"/>
      <c r="G11" s="147" t="s">
        <v>190</v>
      </c>
      <c r="H11" s="129" t="s">
        <v>189</v>
      </c>
      <c r="I11" s="578"/>
    </row>
    <row r="12" spans="2:9" ht="10.8" thickBot="1" x14ac:dyDescent="0.25">
      <c r="B12" s="122"/>
      <c r="C12" s="224" t="s">
        <v>214</v>
      </c>
      <c r="D12" s="174"/>
      <c r="E12" s="174"/>
      <c r="F12" s="174"/>
      <c r="G12" s="225"/>
      <c r="H12" s="237" t="s">
        <v>213</v>
      </c>
    </row>
    <row r="13" spans="2:9" ht="10.8" thickBot="1" x14ac:dyDescent="0.25">
      <c r="B13" s="122"/>
      <c r="C13" s="224"/>
      <c r="D13" s="227" t="s">
        <v>321</v>
      </c>
      <c r="E13" s="230"/>
      <c r="F13" s="230"/>
      <c r="G13" s="231"/>
    </row>
    <row r="14" spans="2:9" x14ac:dyDescent="0.2">
      <c r="B14" s="122"/>
      <c r="C14" s="224"/>
      <c r="D14" s="228" t="s">
        <v>262</v>
      </c>
      <c r="E14" s="132" t="s">
        <v>208</v>
      </c>
      <c r="F14" s="133"/>
      <c r="G14" s="134"/>
    </row>
    <row r="15" spans="2:9" x14ac:dyDescent="0.2">
      <c r="B15" s="122"/>
      <c r="C15" s="224"/>
      <c r="D15" s="229"/>
      <c r="E15" s="135" t="s">
        <v>236</v>
      </c>
      <c r="F15" s="136" t="s">
        <v>206</v>
      </c>
      <c r="G15" s="137"/>
      <c r="H15" s="136" t="s">
        <v>205</v>
      </c>
      <c r="I15" s="577" t="s">
        <v>227</v>
      </c>
    </row>
    <row r="16" spans="2:9" x14ac:dyDescent="0.2">
      <c r="B16" s="122"/>
      <c r="C16" s="224"/>
      <c r="D16" s="224" t="s">
        <v>261</v>
      </c>
      <c r="E16" s="138"/>
      <c r="F16" s="139"/>
      <c r="G16" s="140" t="s">
        <v>190</v>
      </c>
      <c r="H16" s="129" t="s">
        <v>189</v>
      </c>
      <c r="I16" s="578"/>
    </row>
    <row r="17" spans="2:9" x14ac:dyDescent="0.2">
      <c r="B17" s="122"/>
      <c r="C17" s="224"/>
      <c r="D17" s="228" t="s">
        <v>263</v>
      </c>
      <c r="E17" s="141" t="s">
        <v>207</v>
      </c>
      <c r="F17" s="142"/>
      <c r="G17" s="143"/>
    </row>
    <row r="18" spans="2:9" x14ac:dyDescent="0.2">
      <c r="B18" s="122"/>
      <c r="C18" s="224"/>
      <c r="D18" s="224"/>
      <c r="E18" s="122"/>
      <c r="F18" s="136" t="s">
        <v>206</v>
      </c>
      <c r="G18" s="137"/>
      <c r="H18" s="136" t="s">
        <v>205</v>
      </c>
      <c r="I18" s="577" t="s">
        <v>227</v>
      </c>
    </row>
    <row r="19" spans="2:9" x14ac:dyDescent="0.2">
      <c r="B19" s="122"/>
      <c r="C19" s="224"/>
      <c r="D19" s="224"/>
      <c r="E19" s="138"/>
      <c r="F19" s="139"/>
      <c r="G19" s="140" t="s">
        <v>190</v>
      </c>
      <c r="H19" s="129" t="s">
        <v>189</v>
      </c>
      <c r="I19" s="578"/>
    </row>
    <row r="20" spans="2:9" x14ac:dyDescent="0.2">
      <c r="B20" s="122"/>
      <c r="C20" s="224"/>
      <c r="D20" s="224"/>
      <c r="E20" s="122" t="s">
        <v>212</v>
      </c>
      <c r="F20" s="144"/>
      <c r="G20" s="131"/>
      <c r="H20" s="94" t="s">
        <v>211</v>
      </c>
    </row>
    <row r="21" spans="2:9" x14ac:dyDescent="0.2">
      <c r="B21" s="122"/>
      <c r="C21" s="224"/>
      <c r="D21" s="224"/>
      <c r="E21" s="145"/>
      <c r="F21" s="218" t="s">
        <v>210</v>
      </c>
      <c r="G21" s="219"/>
      <c r="H21" s="220" t="s">
        <v>209</v>
      </c>
      <c r="I21" s="577" t="s">
        <v>227</v>
      </c>
    </row>
    <row r="22" spans="2:9" ht="10.8" thickBot="1" x14ac:dyDescent="0.25">
      <c r="B22" s="122"/>
      <c r="C22" s="226"/>
      <c r="D22" s="226"/>
      <c r="E22" s="146"/>
      <c r="F22" s="221" t="s">
        <v>259</v>
      </c>
      <c r="G22" s="150" t="s">
        <v>190</v>
      </c>
      <c r="H22" s="129" t="s">
        <v>189</v>
      </c>
      <c r="I22" s="578"/>
    </row>
    <row r="23" spans="2:9" ht="10.8" thickBot="1" x14ac:dyDescent="0.25">
      <c r="B23" s="122"/>
      <c r="C23" s="227" t="s">
        <v>204</v>
      </c>
      <c r="D23" s="230"/>
      <c r="E23" s="174"/>
      <c r="F23" s="174"/>
      <c r="G23" s="225"/>
    </row>
    <row r="24" spans="2:9" x14ac:dyDescent="0.2">
      <c r="B24" s="122"/>
      <c r="C24" s="224"/>
      <c r="D24" s="272" t="s">
        <v>203</v>
      </c>
      <c r="E24" s="273"/>
      <c r="F24" s="274"/>
      <c r="G24" s="275" t="s">
        <v>202</v>
      </c>
      <c r="H24" s="232" t="s">
        <v>202</v>
      </c>
      <c r="I24" s="577" t="s">
        <v>227</v>
      </c>
    </row>
    <row r="25" spans="2:9" ht="10.8" thickBot="1" x14ac:dyDescent="0.25">
      <c r="B25" s="122"/>
      <c r="C25" s="224"/>
      <c r="D25" s="276"/>
      <c r="E25" s="277"/>
      <c r="F25" s="278"/>
      <c r="G25" s="147" t="s">
        <v>190</v>
      </c>
      <c r="H25" s="129" t="s">
        <v>189</v>
      </c>
      <c r="I25" s="578"/>
    </row>
    <row r="26" spans="2:9" ht="10.8" thickBot="1" x14ac:dyDescent="0.25">
      <c r="B26" s="122"/>
      <c r="C26" s="224"/>
      <c r="D26" s="579" t="s">
        <v>201</v>
      </c>
      <c r="E26" s="580"/>
      <c r="F26" s="270"/>
      <c r="G26" s="271"/>
      <c r="H26" s="232" t="s">
        <v>200</v>
      </c>
      <c r="I26" s="151" t="s">
        <v>202</v>
      </c>
    </row>
    <row r="27" spans="2:9" x14ac:dyDescent="0.2">
      <c r="B27" s="122"/>
      <c r="C27" s="224"/>
      <c r="D27" s="581" t="s">
        <v>199</v>
      </c>
      <c r="E27" s="582"/>
      <c r="F27" s="255"/>
      <c r="G27" s="159"/>
      <c r="H27" s="209" t="s">
        <v>15</v>
      </c>
      <c r="I27" s="577" t="s">
        <v>227</v>
      </c>
    </row>
    <row r="28" spans="2:9" ht="10.8" thickBot="1" x14ac:dyDescent="0.25">
      <c r="B28" s="122"/>
      <c r="C28" s="224"/>
      <c r="D28" s="256"/>
      <c r="E28" s="212"/>
      <c r="F28" s="212"/>
      <c r="G28" s="147" t="s">
        <v>190</v>
      </c>
      <c r="H28" s="129" t="s">
        <v>189</v>
      </c>
      <c r="I28" s="578"/>
    </row>
    <row r="29" spans="2:9" ht="10.8" thickBot="1" x14ac:dyDescent="0.25">
      <c r="B29" s="122"/>
      <c r="C29" s="224"/>
      <c r="D29" s="227" t="s">
        <v>198</v>
      </c>
      <c r="E29" s="230"/>
      <c r="F29" s="230"/>
      <c r="G29" s="231"/>
    </row>
    <row r="30" spans="2:9" x14ac:dyDescent="0.2">
      <c r="B30" s="122"/>
      <c r="C30" s="224"/>
      <c r="D30" s="224"/>
      <c r="E30" s="158" t="s">
        <v>197</v>
      </c>
      <c r="F30" s="249" t="s">
        <v>200</v>
      </c>
      <c r="G30" s="159"/>
      <c r="H30" s="209" t="s">
        <v>15</v>
      </c>
      <c r="I30" s="577" t="s">
        <v>227</v>
      </c>
    </row>
    <row r="31" spans="2:9" ht="10.8" thickBot="1" x14ac:dyDescent="0.25">
      <c r="B31" s="122"/>
      <c r="C31" s="224"/>
      <c r="D31" s="224"/>
      <c r="E31" s="162"/>
      <c r="F31" s="251" t="s">
        <v>211</v>
      </c>
      <c r="G31" s="250" t="s">
        <v>190</v>
      </c>
      <c r="H31" s="129" t="s">
        <v>189</v>
      </c>
      <c r="I31" s="578"/>
    </row>
    <row r="32" spans="2:9" x14ac:dyDescent="0.2">
      <c r="B32" s="122"/>
      <c r="C32" s="224"/>
      <c r="D32" s="224"/>
      <c r="E32" s="215" t="s">
        <v>196</v>
      </c>
      <c r="F32" s="247" t="s">
        <v>211</v>
      </c>
      <c r="G32" s="248"/>
      <c r="H32" s="209" t="s">
        <v>15</v>
      </c>
      <c r="I32" s="577" t="s">
        <v>227</v>
      </c>
    </row>
    <row r="33" spans="2:9" ht="10.8" thickBot="1" x14ac:dyDescent="0.25">
      <c r="B33" s="122"/>
      <c r="C33" s="224"/>
      <c r="D33" s="226"/>
      <c r="E33" s="162"/>
      <c r="F33" s="252" t="s">
        <v>215</v>
      </c>
      <c r="G33" s="147" t="s">
        <v>190</v>
      </c>
      <c r="H33" s="129" t="s">
        <v>189</v>
      </c>
      <c r="I33" s="578"/>
    </row>
    <row r="34" spans="2:9" ht="10.8" thickBot="1" x14ac:dyDescent="0.25">
      <c r="B34" s="122"/>
      <c r="C34" s="224"/>
      <c r="D34" s="224" t="s">
        <v>195</v>
      </c>
      <c r="E34" s="174"/>
      <c r="F34" s="174"/>
      <c r="G34" s="225"/>
    </row>
    <row r="35" spans="2:9" x14ac:dyDescent="0.2">
      <c r="B35" s="122"/>
      <c r="C35" s="224"/>
      <c r="D35" s="224"/>
      <c r="E35" s="239" t="s">
        <v>194</v>
      </c>
      <c r="F35" s="240"/>
      <c r="G35" s="238"/>
      <c r="H35" s="189" t="s">
        <v>193</v>
      </c>
      <c r="I35" s="577" t="s">
        <v>227</v>
      </c>
    </row>
    <row r="36" spans="2:9" x14ac:dyDescent="0.2">
      <c r="B36" s="122"/>
      <c r="C36" s="224"/>
      <c r="D36" s="224"/>
      <c r="E36" s="241"/>
      <c r="F36" s="242"/>
      <c r="G36" s="150" t="s">
        <v>190</v>
      </c>
      <c r="H36" s="164" t="s">
        <v>189</v>
      </c>
      <c r="I36" s="578"/>
    </row>
    <row r="37" spans="2:9" x14ac:dyDescent="0.2">
      <c r="B37" s="122"/>
      <c r="C37" s="224"/>
      <c r="D37" s="224"/>
      <c r="E37" s="243" t="s">
        <v>192</v>
      </c>
      <c r="F37" s="244"/>
      <c r="G37" s="244"/>
      <c r="H37" s="254" t="s">
        <v>191</v>
      </c>
      <c r="I37" s="577" t="s">
        <v>227</v>
      </c>
    </row>
    <row r="38" spans="2:9" x14ac:dyDescent="0.2">
      <c r="B38" s="122"/>
      <c r="C38" s="224"/>
      <c r="D38" s="224"/>
      <c r="E38" s="245"/>
      <c r="F38" s="253" t="s">
        <v>193</v>
      </c>
      <c r="G38" s="150" t="s">
        <v>190</v>
      </c>
      <c r="H38" s="129" t="s">
        <v>189</v>
      </c>
      <c r="I38" s="578"/>
    </row>
    <row r="39" spans="2:9" x14ac:dyDescent="0.2">
      <c r="B39" s="122"/>
      <c r="C39" s="224"/>
      <c r="D39" s="224"/>
      <c r="E39" s="160" t="s">
        <v>52</v>
      </c>
      <c r="F39" s="246" t="s">
        <v>202</v>
      </c>
      <c r="G39" s="153"/>
      <c r="H39" s="209" t="s">
        <v>15</v>
      </c>
      <c r="I39" s="577" t="s">
        <v>227</v>
      </c>
    </row>
    <row r="40" spans="2:9" ht="10.8" thickBot="1" x14ac:dyDescent="0.25">
      <c r="B40" s="165"/>
      <c r="C40" s="226"/>
      <c r="D40" s="226"/>
      <c r="E40" s="162"/>
      <c r="F40" s="253" t="s">
        <v>193</v>
      </c>
      <c r="G40" s="147" t="s">
        <v>190</v>
      </c>
      <c r="H40" s="129" t="s">
        <v>189</v>
      </c>
      <c r="I40" s="578"/>
    </row>
  </sheetData>
  <mergeCells count="15">
    <mergeCell ref="B3:G3"/>
    <mergeCell ref="I6:I7"/>
    <mergeCell ref="I10:I11"/>
    <mergeCell ref="I15:I16"/>
    <mergeCell ref="I18:I19"/>
    <mergeCell ref="D26:E26"/>
    <mergeCell ref="D27:E27"/>
    <mergeCell ref="I27:I28"/>
    <mergeCell ref="I30:I31"/>
    <mergeCell ref="I21:I22"/>
    <mergeCell ref="I32:I33"/>
    <mergeCell ref="I35:I36"/>
    <mergeCell ref="I37:I38"/>
    <mergeCell ref="I39:I40"/>
    <mergeCell ref="I24:I25"/>
  </mergeCells>
  <pageMargins left="0.25" right="0.25" top="0.75" bottom="0.75" header="0.3" footer="0.3"/>
  <pageSetup paperSize="9" scale="75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8"/>
  <dimension ref="B2:J27"/>
  <sheetViews>
    <sheetView showGridLines="0" zoomScaleNormal="100" workbookViewId="0">
      <selection activeCell="E41" sqref="E40:E41"/>
    </sheetView>
  </sheetViews>
  <sheetFormatPr baseColWidth="10" defaultRowHeight="10.199999999999999" x14ac:dyDescent="0.2"/>
  <cols>
    <col min="1" max="1" width="2.77734375" style="113" customWidth="1"/>
    <col min="2" max="2" width="3.5546875" style="113" customWidth="1"/>
    <col min="3" max="3" width="20" style="113" customWidth="1"/>
    <col min="4" max="4" width="18.44140625" style="113" customWidth="1"/>
    <col min="5" max="5" width="28.88671875" style="113" bestFit="1" customWidth="1"/>
    <col min="6" max="6" width="17.109375" style="113" customWidth="1"/>
    <col min="7" max="7" width="20.109375" style="113" customWidth="1"/>
    <col min="8" max="8" width="20.88671875" style="113" customWidth="1"/>
    <col min="9" max="9" width="22" style="113" customWidth="1"/>
    <col min="10" max="10" width="3.33203125" style="168" customWidth="1"/>
    <col min="11" max="11" width="4.77734375" style="113" customWidth="1"/>
    <col min="12" max="12" width="18.33203125" style="113" bestFit="1" customWidth="1"/>
    <col min="13" max="16384" width="11.5546875" style="113"/>
  </cols>
  <sheetData>
    <row r="2" spans="2:10" ht="14.4" x14ac:dyDescent="0.3">
      <c r="C2" s="114" t="s">
        <v>229</v>
      </c>
      <c r="D2" s="167" t="s">
        <v>264</v>
      </c>
    </row>
    <row r="4" spans="2:10" ht="10.8" thickBot="1" x14ac:dyDescent="0.25"/>
    <row r="5" spans="2:10" ht="14.4" customHeight="1" thickBot="1" x14ac:dyDescent="0.35">
      <c r="B5" s="583" t="s">
        <v>230</v>
      </c>
      <c r="C5" s="584"/>
      <c r="D5" s="584"/>
      <c r="E5" s="584"/>
      <c r="F5" s="584"/>
      <c r="G5" s="585"/>
      <c r="H5" s="113" t="s">
        <v>221</v>
      </c>
      <c r="I5" s="113" t="s">
        <v>225</v>
      </c>
    </row>
    <row r="6" spans="2:10" ht="14.4" x14ac:dyDescent="0.3">
      <c r="B6" s="115" t="s">
        <v>231</v>
      </c>
      <c r="C6" s="133"/>
      <c r="D6" s="117"/>
      <c r="E6" s="117"/>
      <c r="F6" s="117"/>
      <c r="G6" s="118"/>
    </row>
    <row r="7" spans="2:10" x14ac:dyDescent="0.2">
      <c r="B7" s="122"/>
      <c r="C7" s="169" t="s">
        <v>233</v>
      </c>
      <c r="D7" s="170"/>
      <c r="E7" s="170"/>
      <c r="F7" s="170"/>
      <c r="G7" s="171"/>
      <c r="H7" s="172" t="s">
        <v>217</v>
      </c>
      <c r="I7" s="173" t="s">
        <v>226</v>
      </c>
      <c r="J7" s="174"/>
    </row>
    <row r="8" spans="2:10" x14ac:dyDescent="0.2">
      <c r="B8" s="122"/>
      <c r="C8" s="175" t="s">
        <v>208</v>
      </c>
      <c r="D8" s="144"/>
      <c r="E8" s="144"/>
      <c r="F8" s="144" t="s">
        <v>238</v>
      </c>
      <c r="G8" s="131"/>
      <c r="H8" s="176" t="s">
        <v>238</v>
      </c>
      <c r="I8" s="586" t="s">
        <v>227</v>
      </c>
      <c r="J8" s="174"/>
    </row>
    <row r="9" spans="2:10" x14ac:dyDescent="0.2">
      <c r="B9" s="122"/>
      <c r="C9" s="175"/>
      <c r="D9" s="177" t="s">
        <v>237</v>
      </c>
      <c r="E9" s="144"/>
      <c r="F9" s="178" t="s">
        <v>206</v>
      </c>
      <c r="G9" s="179"/>
      <c r="H9" s="176" t="s">
        <v>205</v>
      </c>
      <c r="I9" s="589"/>
      <c r="J9" s="174"/>
    </row>
    <row r="10" spans="2:10" x14ac:dyDescent="0.2">
      <c r="B10" s="122"/>
      <c r="C10" s="180"/>
      <c r="D10" s="181"/>
      <c r="E10" s="181"/>
      <c r="F10" s="182"/>
      <c r="G10" s="183" t="s">
        <v>190</v>
      </c>
      <c r="H10" s="184" t="s">
        <v>189</v>
      </c>
      <c r="I10" s="587"/>
      <c r="J10" s="174"/>
    </row>
    <row r="11" spans="2:10" x14ac:dyDescent="0.2">
      <c r="B11" s="122"/>
      <c r="C11" s="185" t="s">
        <v>234</v>
      </c>
      <c r="D11" s="186"/>
      <c r="E11" s="186"/>
      <c r="F11" s="187" t="s">
        <v>235</v>
      </c>
      <c r="G11" s="188"/>
      <c r="H11" s="189" t="s">
        <v>235</v>
      </c>
      <c r="I11" s="588" t="s">
        <v>227</v>
      </c>
      <c r="J11" s="190"/>
    </row>
    <row r="12" spans="2:10" ht="10.8" thickBot="1" x14ac:dyDescent="0.25">
      <c r="B12" s="165"/>
      <c r="C12" s="191"/>
      <c r="D12" s="192"/>
      <c r="E12" s="192" t="s">
        <v>36</v>
      </c>
      <c r="F12" s="192"/>
      <c r="G12" s="193" t="s">
        <v>190</v>
      </c>
      <c r="H12" s="184" t="s">
        <v>189</v>
      </c>
      <c r="I12" s="588"/>
      <c r="J12" s="190"/>
    </row>
    <row r="13" spans="2:10" ht="15" thickBot="1" x14ac:dyDescent="0.35">
      <c r="B13" s="115" t="s">
        <v>232</v>
      </c>
      <c r="C13" s="133"/>
      <c r="D13" s="117"/>
      <c r="E13" s="117"/>
      <c r="F13" s="117"/>
      <c r="G13" s="118"/>
      <c r="J13" s="190"/>
    </row>
    <row r="14" spans="2:10" x14ac:dyDescent="0.2">
      <c r="B14" s="122"/>
      <c r="C14" s="132" t="s">
        <v>239</v>
      </c>
      <c r="D14" s="133"/>
      <c r="E14" s="133"/>
      <c r="F14" s="133" t="s">
        <v>240</v>
      </c>
      <c r="G14" s="134"/>
      <c r="H14" s="194" t="s">
        <v>240</v>
      </c>
      <c r="I14" s="586" t="s">
        <v>227</v>
      </c>
      <c r="J14" s="190"/>
    </row>
    <row r="15" spans="2:10" x14ac:dyDescent="0.2">
      <c r="B15" s="122"/>
      <c r="C15" s="122"/>
      <c r="D15" s="195" t="s">
        <v>265</v>
      </c>
      <c r="E15" s="144"/>
      <c r="F15" s="196" t="s">
        <v>11</v>
      </c>
      <c r="G15" s="197"/>
      <c r="H15" s="194" t="s">
        <v>240</v>
      </c>
      <c r="I15" s="589"/>
      <c r="J15" s="190"/>
    </row>
    <row r="16" spans="2:10" x14ac:dyDescent="0.2">
      <c r="B16" s="122"/>
      <c r="C16" s="138"/>
      <c r="D16" s="181"/>
      <c r="E16" s="181"/>
      <c r="F16" s="198"/>
      <c r="G16" s="199" t="s">
        <v>190</v>
      </c>
      <c r="H16" s="184" t="s">
        <v>189</v>
      </c>
      <c r="I16" s="587"/>
      <c r="J16" s="190"/>
    </row>
    <row r="17" spans="2:10" x14ac:dyDescent="0.2">
      <c r="B17" s="122"/>
      <c r="C17" s="141" t="s">
        <v>241</v>
      </c>
      <c r="D17" s="142"/>
      <c r="E17" s="142"/>
      <c r="F17" s="142" t="s">
        <v>242</v>
      </c>
      <c r="G17" s="143"/>
      <c r="H17" s="200" t="s">
        <v>242</v>
      </c>
      <c r="I17" s="586" t="s">
        <v>227</v>
      </c>
      <c r="J17" s="190"/>
    </row>
    <row r="18" spans="2:10" x14ac:dyDescent="0.2">
      <c r="B18" s="122"/>
      <c r="C18" s="122"/>
      <c r="D18" s="144"/>
      <c r="E18" s="201" t="s">
        <v>38</v>
      </c>
      <c r="F18" s="202" t="s">
        <v>210</v>
      </c>
      <c r="G18" s="203"/>
      <c r="H18" s="200" t="s">
        <v>209</v>
      </c>
      <c r="I18" s="589"/>
      <c r="J18" s="190"/>
    </row>
    <row r="19" spans="2:10" ht="10.8" thickBot="1" x14ac:dyDescent="0.25">
      <c r="B19" s="122"/>
      <c r="C19" s="122"/>
      <c r="D19" s="144"/>
      <c r="E19" s="204"/>
      <c r="F19" s="205" t="s">
        <v>260</v>
      </c>
      <c r="G19" s="206" t="s">
        <v>190</v>
      </c>
      <c r="H19" s="184" t="s">
        <v>189</v>
      </c>
      <c r="I19" s="587"/>
      <c r="J19" s="190"/>
    </row>
    <row r="20" spans="2:10" x14ac:dyDescent="0.2">
      <c r="B20" s="122"/>
      <c r="C20" s="154" t="s">
        <v>198</v>
      </c>
      <c r="D20" s="155"/>
      <c r="E20" s="207"/>
      <c r="F20" s="155"/>
      <c r="G20" s="156"/>
      <c r="J20" s="190"/>
    </row>
    <row r="21" spans="2:10" x14ac:dyDescent="0.2">
      <c r="B21" s="122"/>
      <c r="C21" s="157"/>
      <c r="D21" s="208" t="s">
        <v>266</v>
      </c>
      <c r="E21" s="152"/>
      <c r="F21" s="161"/>
      <c r="G21" s="153"/>
      <c r="H21" s="209" t="s">
        <v>15</v>
      </c>
      <c r="I21" s="586" t="s">
        <v>227</v>
      </c>
    </row>
    <row r="22" spans="2:10" ht="10.8" thickBot="1" x14ac:dyDescent="0.25">
      <c r="B22" s="122"/>
      <c r="C22" s="210"/>
      <c r="D22" s="211"/>
      <c r="E22" s="212"/>
      <c r="F22" s="163"/>
      <c r="G22" s="193" t="s">
        <v>190</v>
      </c>
      <c r="H22" s="184" t="s">
        <v>189</v>
      </c>
      <c r="I22" s="587"/>
    </row>
    <row r="23" spans="2:10" x14ac:dyDescent="0.2">
      <c r="B23" s="122"/>
      <c r="C23" s="213" t="s">
        <v>267</v>
      </c>
      <c r="D23" s="148"/>
      <c r="E23" s="148"/>
      <c r="F23" s="148"/>
      <c r="G23" s="214"/>
    </row>
    <row r="24" spans="2:10" x14ac:dyDescent="0.2">
      <c r="B24" s="122"/>
      <c r="C24" s="149"/>
      <c r="D24" s="208" t="s">
        <v>13</v>
      </c>
      <c r="E24" s="152"/>
      <c r="F24" s="161"/>
      <c r="G24" s="153"/>
      <c r="H24" s="209" t="s">
        <v>15</v>
      </c>
      <c r="I24" s="586" t="s">
        <v>227</v>
      </c>
    </row>
    <row r="25" spans="2:10" ht="10.8" thickBot="1" x14ac:dyDescent="0.25">
      <c r="B25" s="122"/>
      <c r="C25" s="166"/>
      <c r="D25" s="211"/>
      <c r="E25" s="212"/>
      <c r="F25" s="163"/>
      <c r="G25" s="193" t="s">
        <v>190</v>
      </c>
      <c r="H25" s="184" t="s">
        <v>189</v>
      </c>
      <c r="I25" s="587"/>
    </row>
    <row r="26" spans="2:10" x14ac:dyDescent="0.2">
      <c r="B26" s="122"/>
      <c r="C26" s="215" t="s">
        <v>268</v>
      </c>
      <c r="D26" s="216"/>
      <c r="E26" s="216" t="s">
        <v>40</v>
      </c>
      <c r="F26" s="216"/>
      <c r="G26" s="217"/>
      <c r="H26" s="209" t="s">
        <v>15</v>
      </c>
      <c r="I26" s="588" t="s">
        <v>227</v>
      </c>
    </row>
    <row r="27" spans="2:10" ht="10.8" thickBot="1" x14ac:dyDescent="0.25">
      <c r="B27" s="165"/>
      <c r="C27" s="162"/>
      <c r="D27" s="163"/>
      <c r="E27" s="163" t="s">
        <v>39</v>
      </c>
      <c r="F27" s="163"/>
      <c r="G27" s="193" t="s">
        <v>190</v>
      </c>
      <c r="H27" s="184" t="s">
        <v>189</v>
      </c>
      <c r="I27" s="588"/>
    </row>
  </sheetData>
  <mergeCells count="8">
    <mergeCell ref="I21:I22"/>
    <mergeCell ref="I24:I25"/>
    <mergeCell ref="I26:I27"/>
    <mergeCell ref="B5:G5"/>
    <mergeCell ref="I14:I16"/>
    <mergeCell ref="I11:I12"/>
    <mergeCell ref="I8:I10"/>
    <mergeCell ref="I17:I19"/>
  </mergeCells>
  <pageMargins left="0.25" right="0.25" top="0.75" bottom="0.75" header="0.3" footer="0.3"/>
  <pageSetup paperSize="9" scale="90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3"/>
  <dimension ref="B1:I51"/>
  <sheetViews>
    <sheetView showGridLines="0" topLeftCell="A7" zoomScaleNormal="100" workbookViewId="0">
      <selection activeCell="H49" sqref="H49"/>
    </sheetView>
  </sheetViews>
  <sheetFormatPr baseColWidth="10" defaultRowHeight="10.199999999999999" x14ac:dyDescent="0.2"/>
  <cols>
    <col min="1" max="1" width="10.21875" style="113" customWidth="1"/>
    <col min="2" max="2" width="14.5546875" style="113" customWidth="1"/>
    <col min="3" max="3" width="18.77734375" style="113" bestFit="1" customWidth="1"/>
    <col min="4" max="4" width="24.21875" style="113" bestFit="1" customWidth="1"/>
    <col min="5" max="5" width="23.21875" style="113" bestFit="1" customWidth="1"/>
    <col min="6" max="31" width="14.5546875" style="113" customWidth="1"/>
    <col min="32" max="53" width="13.44140625" style="113" customWidth="1"/>
    <col min="54" max="16384" width="11.5546875" style="113"/>
  </cols>
  <sheetData>
    <row r="1" spans="2:9" s="174" customFormat="1" ht="13.8" x14ac:dyDescent="0.3">
      <c r="C1" s="283"/>
    </row>
    <row r="2" spans="2:9" s="174" customFormat="1" x14ac:dyDescent="0.2"/>
    <row r="3" spans="2:9" s="174" customFormat="1" ht="15" customHeight="1" x14ac:dyDescent="0.3">
      <c r="B3" s="591"/>
      <c r="C3" s="591"/>
      <c r="D3" s="591"/>
      <c r="E3" s="591"/>
      <c r="F3" s="591"/>
      <c r="G3" s="591"/>
      <c r="H3" s="284"/>
      <c r="I3" s="284"/>
    </row>
    <row r="4" spans="2:9" s="174" customFormat="1" ht="14.4" x14ac:dyDescent="0.3">
      <c r="B4" s="285"/>
      <c r="C4" s="286"/>
      <c r="D4" s="286"/>
      <c r="E4" s="286"/>
      <c r="F4" s="286"/>
      <c r="G4" s="286"/>
    </row>
    <row r="5" spans="2:9" s="174" customFormat="1" x14ac:dyDescent="0.2">
      <c r="B5" s="285"/>
      <c r="D5" s="287"/>
    </row>
    <row r="6" spans="2:9" s="174" customFormat="1" ht="12" x14ac:dyDescent="0.2">
      <c r="G6" s="288"/>
      <c r="I6" s="590"/>
    </row>
    <row r="7" spans="2:9" s="174" customFormat="1" x14ac:dyDescent="0.2">
      <c r="F7" s="289"/>
      <c r="H7" s="282"/>
      <c r="I7" s="590"/>
    </row>
    <row r="8" spans="2:9" s="174" customFormat="1" x14ac:dyDescent="0.2">
      <c r="C8" s="287"/>
      <c r="D8" s="287"/>
      <c r="E8" s="287"/>
      <c r="F8" s="287"/>
      <c r="G8" s="287"/>
    </row>
    <row r="9" spans="2:9" s="174" customFormat="1" x14ac:dyDescent="0.2">
      <c r="C9" s="287"/>
      <c r="D9" s="287"/>
      <c r="E9" s="287"/>
      <c r="F9" s="287"/>
      <c r="G9" s="287"/>
    </row>
    <row r="10" spans="2:9" s="174" customFormat="1" x14ac:dyDescent="0.2">
      <c r="C10" s="290"/>
      <c r="D10" s="287"/>
      <c r="E10" s="287"/>
      <c r="F10" s="287"/>
      <c r="G10" s="287"/>
      <c r="H10" s="287"/>
      <c r="I10" s="590"/>
    </row>
    <row r="11" spans="2:9" s="174" customFormat="1" x14ac:dyDescent="0.2">
      <c r="C11" s="287"/>
      <c r="D11" s="287"/>
      <c r="E11" s="287"/>
      <c r="F11" s="287"/>
      <c r="H11" s="282"/>
      <c r="I11" s="590"/>
    </row>
    <row r="12" spans="2:9" s="174" customFormat="1" x14ac:dyDescent="0.2"/>
    <row r="13" spans="2:9" s="174" customFormat="1" x14ac:dyDescent="0.2"/>
    <row r="14" spans="2:9" s="174" customFormat="1" x14ac:dyDescent="0.2">
      <c r="D14" s="281"/>
    </row>
    <row r="15" spans="2:9" s="174" customFormat="1" x14ac:dyDescent="0.2">
      <c r="D15" s="282"/>
      <c r="E15" s="282"/>
      <c r="F15" s="287"/>
      <c r="G15" s="287"/>
      <c r="H15" s="287"/>
      <c r="I15" s="590"/>
    </row>
    <row r="16" spans="2:9" s="174" customFormat="1" x14ac:dyDescent="0.2">
      <c r="F16" s="287"/>
      <c r="H16" s="282"/>
      <c r="I16" s="590"/>
    </row>
    <row r="17" spans="4:9" s="174" customFormat="1" x14ac:dyDescent="0.2">
      <c r="D17" s="281"/>
    </row>
    <row r="18" spans="4:9" s="174" customFormat="1" x14ac:dyDescent="0.2">
      <c r="F18" s="287"/>
      <c r="G18" s="287"/>
      <c r="H18" s="287"/>
      <c r="I18" s="590"/>
    </row>
    <row r="19" spans="4:9" s="174" customFormat="1" x14ac:dyDescent="0.2">
      <c r="F19" s="287"/>
      <c r="H19" s="282"/>
      <c r="I19" s="590"/>
    </row>
    <row r="20" spans="4:9" s="174" customFormat="1" x14ac:dyDescent="0.2">
      <c r="H20" s="287"/>
    </row>
    <row r="21" spans="4:9" s="174" customFormat="1" x14ac:dyDescent="0.2">
      <c r="E21" s="289"/>
      <c r="F21" s="287"/>
      <c r="G21" s="287"/>
      <c r="H21" s="287"/>
      <c r="I21" s="590"/>
    </row>
    <row r="22" spans="4:9" s="174" customFormat="1" x14ac:dyDescent="0.2">
      <c r="E22" s="289"/>
      <c r="F22" s="287"/>
      <c r="H22" s="282"/>
      <c r="I22" s="590"/>
    </row>
    <row r="23" spans="4:9" s="174" customFormat="1" x14ac:dyDescent="0.2"/>
    <row r="24" spans="4:9" s="174" customFormat="1" x14ac:dyDescent="0.2">
      <c r="D24" s="290"/>
      <c r="E24" s="290"/>
      <c r="F24" s="282"/>
      <c r="G24" s="282"/>
      <c r="I24" s="590"/>
    </row>
    <row r="25" spans="4:9" s="174" customFormat="1" x14ac:dyDescent="0.2">
      <c r="D25" s="290"/>
      <c r="E25" s="290"/>
      <c r="F25" s="282"/>
      <c r="H25" s="282"/>
      <c r="I25" s="590"/>
    </row>
    <row r="26" spans="4:9" s="174" customFormat="1" x14ac:dyDescent="0.2">
      <c r="D26" s="592"/>
      <c r="E26" s="592"/>
      <c r="F26" s="282"/>
      <c r="G26" s="282"/>
    </row>
    <row r="27" spans="4:9" s="174" customFormat="1" x14ac:dyDescent="0.2">
      <c r="D27" s="592"/>
      <c r="E27" s="592"/>
      <c r="F27" s="282"/>
      <c r="G27" s="282"/>
      <c r="I27" s="590"/>
    </row>
    <row r="28" spans="4:9" s="174" customFormat="1" x14ac:dyDescent="0.2">
      <c r="D28" s="282"/>
      <c r="E28" s="282"/>
      <c r="F28" s="282"/>
      <c r="H28" s="282"/>
      <c r="I28" s="590"/>
    </row>
    <row r="29" spans="4:9" s="174" customFormat="1" x14ac:dyDescent="0.2"/>
    <row r="30" spans="4:9" s="174" customFormat="1" x14ac:dyDescent="0.2">
      <c r="G30" s="282"/>
      <c r="I30" s="590"/>
    </row>
    <row r="31" spans="4:9" s="174" customFormat="1" x14ac:dyDescent="0.2">
      <c r="H31" s="282"/>
      <c r="I31" s="590"/>
    </row>
    <row r="32" spans="4:9" s="174" customFormat="1" x14ac:dyDescent="0.2">
      <c r="G32" s="282"/>
      <c r="I32" s="590"/>
    </row>
    <row r="33" spans="2:9" s="174" customFormat="1" x14ac:dyDescent="0.2">
      <c r="F33" s="287"/>
      <c r="H33" s="282"/>
      <c r="I33" s="590"/>
    </row>
    <row r="34" spans="2:9" s="174" customFormat="1" x14ac:dyDescent="0.2"/>
    <row r="35" spans="2:9" s="174" customFormat="1" x14ac:dyDescent="0.2">
      <c r="I35" s="590"/>
    </row>
    <row r="36" spans="2:9" s="174" customFormat="1" x14ac:dyDescent="0.2">
      <c r="B36" s="174" t="s">
        <v>326</v>
      </c>
      <c r="H36" s="282"/>
      <c r="I36" s="590"/>
    </row>
    <row r="37" spans="2:9" s="174" customFormat="1" x14ac:dyDescent="0.2">
      <c r="C37" s="309" t="s">
        <v>218</v>
      </c>
      <c r="D37" s="121" t="s">
        <v>226</v>
      </c>
      <c r="H37" s="290"/>
      <c r="I37" s="590"/>
    </row>
    <row r="38" spans="2:9" s="174" customFormat="1" x14ac:dyDescent="0.2">
      <c r="C38" s="124" t="s">
        <v>220</v>
      </c>
      <c r="D38" s="174" t="s">
        <v>328</v>
      </c>
      <c r="H38" s="282"/>
      <c r="I38" s="590"/>
    </row>
    <row r="39" spans="2:9" s="174" customFormat="1" x14ac:dyDescent="0.2">
      <c r="C39" s="311" t="s">
        <v>327</v>
      </c>
      <c r="G39" s="282"/>
      <c r="I39" s="590"/>
    </row>
    <row r="40" spans="2:9" s="174" customFormat="1" x14ac:dyDescent="0.2">
      <c r="C40" s="312" t="s">
        <v>216</v>
      </c>
      <c r="D40" s="174" t="s">
        <v>328</v>
      </c>
      <c r="H40" s="282"/>
      <c r="I40" s="590"/>
    </row>
    <row r="41" spans="2:9" s="174" customFormat="1" x14ac:dyDescent="0.2">
      <c r="C41" s="314" t="s">
        <v>214</v>
      </c>
      <c r="D41" s="315"/>
      <c r="E41" s="315" t="s">
        <v>208</v>
      </c>
      <c r="F41" s="316" t="s">
        <v>206</v>
      </c>
      <c r="G41" s="317" t="s">
        <v>328</v>
      </c>
    </row>
    <row r="42" spans="2:9" x14ac:dyDescent="0.2">
      <c r="C42" s="175"/>
      <c r="D42" s="144"/>
      <c r="E42" s="144" t="s">
        <v>207</v>
      </c>
      <c r="F42" s="313" t="s">
        <v>206</v>
      </c>
      <c r="G42" s="318" t="s">
        <v>328</v>
      </c>
    </row>
    <row r="43" spans="2:9" x14ac:dyDescent="0.2">
      <c r="C43" s="180"/>
      <c r="D43" s="181"/>
      <c r="E43" s="181" t="s">
        <v>212</v>
      </c>
      <c r="F43" s="319" t="s">
        <v>210</v>
      </c>
      <c r="G43" s="320" t="s">
        <v>328</v>
      </c>
    </row>
    <row r="44" spans="2:9" x14ac:dyDescent="0.2">
      <c r="C44" s="321" t="s">
        <v>364</v>
      </c>
      <c r="D44" s="322" t="s">
        <v>203</v>
      </c>
      <c r="E44" s="315" t="s">
        <v>328</v>
      </c>
      <c r="F44" s="323"/>
      <c r="G44" s="144"/>
    </row>
    <row r="45" spans="2:9" x14ac:dyDescent="0.2">
      <c r="C45" s="175"/>
      <c r="D45" s="310" t="s">
        <v>363</v>
      </c>
      <c r="E45" s="144"/>
      <c r="F45" s="324"/>
      <c r="G45" s="144"/>
    </row>
    <row r="46" spans="2:9" x14ac:dyDescent="0.2">
      <c r="C46" s="175"/>
      <c r="D46" s="216" t="s">
        <v>199</v>
      </c>
      <c r="E46" s="174" t="s">
        <v>328</v>
      </c>
      <c r="F46" s="324"/>
      <c r="G46" s="144"/>
    </row>
    <row r="47" spans="2:9" x14ac:dyDescent="0.2">
      <c r="C47" s="175"/>
      <c r="D47" s="321" t="s">
        <v>198</v>
      </c>
      <c r="E47" s="161" t="s">
        <v>197</v>
      </c>
      <c r="F47" s="317" t="s">
        <v>328</v>
      </c>
    </row>
    <row r="48" spans="2:9" x14ac:dyDescent="0.2">
      <c r="C48" s="175"/>
      <c r="D48" s="180"/>
      <c r="E48" s="325" t="s">
        <v>196</v>
      </c>
      <c r="F48" s="320" t="s">
        <v>328</v>
      </c>
    </row>
    <row r="49" spans="3:6" x14ac:dyDescent="0.2">
      <c r="C49" s="175"/>
      <c r="D49" s="321" t="s">
        <v>365</v>
      </c>
      <c r="E49" s="186" t="s">
        <v>366</v>
      </c>
      <c r="F49" s="317" t="s">
        <v>328</v>
      </c>
    </row>
    <row r="50" spans="3:6" x14ac:dyDescent="0.2">
      <c r="C50" s="175"/>
      <c r="D50" s="175"/>
      <c r="E50" s="326" t="s">
        <v>367</v>
      </c>
      <c r="F50" s="318" t="s">
        <v>328</v>
      </c>
    </row>
    <row r="51" spans="3:6" x14ac:dyDescent="0.2">
      <c r="C51" s="180"/>
      <c r="D51" s="180"/>
      <c r="E51" s="181" t="s">
        <v>52</v>
      </c>
      <c r="F51" s="320" t="s">
        <v>328</v>
      </c>
    </row>
  </sheetData>
  <mergeCells count="15">
    <mergeCell ref="I35:I36"/>
    <mergeCell ref="I37:I38"/>
    <mergeCell ref="I39:I40"/>
    <mergeCell ref="I24:I25"/>
    <mergeCell ref="D26:E26"/>
    <mergeCell ref="D27:E27"/>
    <mergeCell ref="I27:I28"/>
    <mergeCell ref="I30:I31"/>
    <mergeCell ref="I32:I33"/>
    <mergeCell ref="I21:I22"/>
    <mergeCell ref="B3:G3"/>
    <mergeCell ref="I6:I7"/>
    <mergeCell ref="I10:I11"/>
    <mergeCell ref="I15:I16"/>
    <mergeCell ref="I18:I19"/>
  </mergeCells>
  <pageMargins left="0.25" right="0.25" top="0.75" bottom="0.75" header="0.3" footer="0.3"/>
  <pageSetup paperSize="9" scale="75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7"/>
  <dimension ref="A1:P29"/>
  <sheetViews>
    <sheetView showGridLines="0" zoomScaleNormal="100" workbookViewId="0">
      <selection activeCell="L12" sqref="L12"/>
    </sheetView>
  </sheetViews>
  <sheetFormatPr baseColWidth="10" defaultRowHeight="10.199999999999999" x14ac:dyDescent="0.2"/>
  <cols>
    <col min="1" max="1" width="19.6640625" style="113" customWidth="1"/>
    <col min="2" max="2" width="2.44140625" style="113" customWidth="1"/>
    <col min="3" max="4" width="6.6640625" style="113" customWidth="1"/>
    <col min="5" max="5" width="2.33203125" style="174" customWidth="1"/>
    <col min="6" max="6" width="14.77734375" style="174" customWidth="1"/>
    <col min="7" max="7" width="23.88671875" style="113" customWidth="1"/>
    <col min="8" max="8" width="25.6640625" style="113" customWidth="1"/>
    <col min="9" max="9" width="16.88671875" style="113" bestFit="1" customWidth="1"/>
    <col min="10" max="10" width="20.6640625" style="113" bestFit="1" customWidth="1"/>
    <col min="11" max="11" width="14.6640625" style="113" bestFit="1" customWidth="1"/>
    <col min="12" max="13" width="16.109375" style="113" bestFit="1" customWidth="1"/>
    <col min="14" max="37" width="14.5546875" style="113" customWidth="1"/>
    <col min="38" max="59" width="13.44140625" style="113" customWidth="1"/>
    <col min="60" max="16384" width="11.5546875" style="113"/>
  </cols>
  <sheetData>
    <row r="1" spans="1:16" ht="15.6" customHeight="1" thickBot="1" x14ac:dyDescent="0.25">
      <c r="F1" s="372"/>
    </row>
    <row r="2" spans="1:16" ht="14.4" thickBot="1" x14ac:dyDescent="0.35">
      <c r="A2" s="347" t="s">
        <v>369</v>
      </c>
      <c r="B2" s="355"/>
      <c r="C2" s="347" t="s">
        <v>382</v>
      </c>
      <c r="D2" s="347" t="s">
        <v>383</v>
      </c>
      <c r="F2" s="613" t="s">
        <v>373</v>
      </c>
      <c r="G2" s="614"/>
      <c r="H2" s="614"/>
      <c r="I2" s="614"/>
      <c r="J2" s="614"/>
      <c r="K2" s="614"/>
      <c r="L2" s="614"/>
      <c r="M2" s="615"/>
      <c r="N2" s="335"/>
      <c r="O2" s="335"/>
      <c r="P2" s="335"/>
    </row>
    <row r="3" spans="1:16" x14ac:dyDescent="0.2">
      <c r="A3" s="334" t="s">
        <v>226</v>
      </c>
      <c r="B3" s="174"/>
      <c r="C3" s="328"/>
      <c r="D3" s="328"/>
      <c r="F3" s="373" t="s">
        <v>326</v>
      </c>
      <c r="G3" s="618" t="s">
        <v>218</v>
      </c>
      <c r="H3" s="619"/>
      <c r="I3" s="619"/>
      <c r="J3" s="619"/>
      <c r="K3" s="619"/>
      <c r="L3" s="619"/>
      <c r="M3" s="620"/>
    </row>
    <row r="4" spans="1:16" x14ac:dyDescent="0.2">
      <c r="A4" s="329" t="s">
        <v>328</v>
      </c>
      <c r="B4" s="174"/>
      <c r="C4" s="356"/>
      <c r="D4" s="356"/>
      <c r="F4" s="338"/>
      <c r="G4" s="621" t="s">
        <v>220</v>
      </c>
      <c r="H4" s="622"/>
      <c r="I4" s="622"/>
      <c r="J4" s="622"/>
      <c r="K4" s="622"/>
      <c r="L4" s="622"/>
      <c r="M4" s="623"/>
    </row>
    <row r="5" spans="1:16" x14ac:dyDescent="0.2">
      <c r="A5" s="333"/>
      <c r="B5" s="174"/>
      <c r="C5" s="357"/>
      <c r="D5" s="358"/>
      <c r="F5" s="338"/>
      <c r="G5" s="624" t="s">
        <v>368</v>
      </c>
      <c r="H5" s="625"/>
      <c r="I5" s="625"/>
      <c r="J5" s="625"/>
      <c r="K5" s="625"/>
      <c r="L5" s="625"/>
      <c r="M5" s="626"/>
      <c r="N5" s="144"/>
    </row>
    <row r="6" spans="1:16" x14ac:dyDescent="0.2">
      <c r="A6" s="330" t="s">
        <v>431</v>
      </c>
      <c r="B6" s="174"/>
      <c r="C6" s="356"/>
      <c r="D6" s="356"/>
      <c r="F6" s="338"/>
      <c r="G6" s="632" t="s">
        <v>431</v>
      </c>
      <c r="H6" s="633"/>
      <c r="I6" s="633"/>
      <c r="J6" s="633"/>
      <c r="K6" s="633"/>
      <c r="L6" s="633"/>
      <c r="M6" s="634"/>
      <c r="N6" s="144"/>
    </row>
    <row r="7" spans="1:16" x14ac:dyDescent="0.2">
      <c r="A7" s="151" t="s">
        <v>328</v>
      </c>
      <c r="B7" s="174"/>
      <c r="C7" s="330"/>
      <c r="D7" s="356"/>
      <c r="F7" s="338"/>
      <c r="G7" s="627" t="s">
        <v>216</v>
      </c>
      <c r="H7" s="628"/>
      <c r="I7" s="628"/>
      <c r="J7" s="628"/>
      <c r="K7" s="628"/>
      <c r="L7" s="628"/>
      <c r="M7" s="629"/>
      <c r="N7" s="144"/>
    </row>
    <row r="8" spans="1:16" x14ac:dyDescent="0.2">
      <c r="A8" s="151" t="s">
        <v>213</v>
      </c>
      <c r="B8" s="174"/>
      <c r="C8" s="356"/>
      <c r="D8" s="356"/>
      <c r="E8" s="337"/>
      <c r="F8" s="340"/>
      <c r="G8" s="369" t="s">
        <v>214</v>
      </c>
      <c r="H8" s="370" t="s">
        <v>384</v>
      </c>
      <c r="I8" s="371" t="s">
        <v>388</v>
      </c>
      <c r="J8" s="601" t="s">
        <v>391</v>
      </c>
      <c r="K8" s="602"/>
      <c r="L8" s="602"/>
      <c r="M8" s="603"/>
      <c r="N8" s="144"/>
    </row>
    <row r="9" spans="1:16" x14ac:dyDescent="0.2">
      <c r="A9" s="144"/>
      <c r="B9" s="174"/>
      <c r="C9" s="174"/>
      <c r="D9" s="174"/>
      <c r="E9" s="337"/>
      <c r="F9" s="340"/>
      <c r="G9" s="345"/>
      <c r="H9" s="341"/>
      <c r="I9" s="341"/>
      <c r="J9" s="601" t="s">
        <v>392</v>
      </c>
      <c r="K9" s="602"/>
      <c r="L9" s="602"/>
      <c r="M9" s="603"/>
      <c r="N9" s="144"/>
    </row>
    <row r="10" spans="1:16" x14ac:dyDescent="0.2">
      <c r="A10" s="331" t="s">
        <v>328</v>
      </c>
      <c r="B10" s="174"/>
      <c r="C10" s="356"/>
      <c r="D10" s="356"/>
      <c r="E10" s="337"/>
      <c r="F10" s="340"/>
      <c r="G10" s="345"/>
      <c r="H10" s="341"/>
      <c r="I10" s="341"/>
      <c r="J10" s="638" t="s">
        <v>386</v>
      </c>
      <c r="K10" s="344" t="s">
        <v>370</v>
      </c>
      <c r="L10" s="630" t="s">
        <v>206</v>
      </c>
      <c r="M10" s="631"/>
      <c r="N10" s="144"/>
    </row>
    <row r="11" spans="1:16" x14ac:dyDescent="0.2">
      <c r="A11" s="247" t="s">
        <v>328</v>
      </c>
      <c r="B11" s="174"/>
      <c r="C11" s="359"/>
      <c r="D11" s="151"/>
      <c r="E11" s="337"/>
      <c r="F11" s="340"/>
      <c r="G11" s="345"/>
      <c r="H11" s="341"/>
      <c r="I11" s="341"/>
      <c r="J11" s="639"/>
      <c r="K11" s="638" t="s">
        <v>371</v>
      </c>
      <c r="L11" s="596" t="s">
        <v>210</v>
      </c>
      <c r="M11" s="597"/>
      <c r="N11" s="346"/>
    </row>
    <row r="12" spans="1:16" x14ac:dyDescent="0.2">
      <c r="A12" s="247"/>
      <c r="B12" s="174"/>
      <c r="C12" s="359"/>
      <c r="D12" s="151"/>
      <c r="E12" s="337"/>
      <c r="F12" s="340"/>
      <c r="G12" s="345"/>
      <c r="H12" s="341"/>
      <c r="I12" s="341"/>
      <c r="J12" s="640"/>
      <c r="K12" s="640"/>
      <c r="L12" s="377" t="s">
        <v>28</v>
      </c>
      <c r="M12" s="376"/>
      <c r="N12" s="346"/>
    </row>
    <row r="13" spans="1:16" x14ac:dyDescent="0.2">
      <c r="A13" s="331" t="s">
        <v>328</v>
      </c>
      <c r="B13" s="174"/>
      <c r="C13" s="356"/>
      <c r="D13" s="356"/>
      <c r="E13" s="337"/>
      <c r="F13" s="340"/>
      <c r="G13" s="345"/>
      <c r="H13" s="341"/>
      <c r="I13" s="341"/>
      <c r="J13" s="321" t="s">
        <v>387</v>
      </c>
      <c r="K13" s="343" t="s">
        <v>377</v>
      </c>
      <c r="L13" s="151" t="s">
        <v>207</v>
      </c>
      <c r="M13" s="331" t="s">
        <v>206</v>
      </c>
      <c r="N13" s="346"/>
    </row>
    <row r="14" spans="1:16" x14ac:dyDescent="0.2">
      <c r="A14" s="247" t="s">
        <v>328</v>
      </c>
      <c r="B14" s="174"/>
      <c r="C14" s="359"/>
      <c r="D14" s="151"/>
      <c r="E14" s="337"/>
      <c r="F14" s="340"/>
      <c r="G14" s="345"/>
      <c r="H14" s="341"/>
      <c r="I14" s="341"/>
      <c r="J14" s="180"/>
      <c r="K14" s="151" t="s">
        <v>371</v>
      </c>
      <c r="L14" s="596" t="s">
        <v>210</v>
      </c>
      <c r="M14" s="597"/>
      <c r="N14" s="346"/>
    </row>
    <row r="15" spans="1:16" x14ac:dyDescent="0.2">
      <c r="A15" s="174"/>
      <c r="B15" s="174"/>
      <c r="C15" s="290"/>
      <c r="D15" s="144"/>
      <c r="E15" s="337"/>
      <c r="F15" s="340"/>
      <c r="G15" s="345"/>
      <c r="H15" s="341"/>
      <c r="I15" s="341"/>
      <c r="J15" s="366" t="s">
        <v>389</v>
      </c>
      <c r="K15" s="598" t="s">
        <v>390</v>
      </c>
      <c r="L15" s="599"/>
      <c r="M15" s="600"/>
      <c r="N15" s="346"/>
    </row>
    <row r="16" spans="1:16" x14ac:dyDescent="0.2">
      <c r="A16" s="174"/>
      <c r="B16" s="174"/>
      <c r="C16" s="290"/>
      <c r="D16" s="144"/>
      <c r="E16" s="337"/>
      <c r="F16" s="340"/>
      <c r="G16" s="345"/>
      <c r="H16" s="341"/>
      <c r="I16" s="341"/>
      <c r="J16" s="341"/>
      <c r="K16" s="601" t="s">
        <v>393</v>
      </c>
      <c r="L16" s="602"/>
      <c r="M16" s="603"/>
      <c r="N16" s="346"/>
    </row>
    <row r="17" spans="1:14" x14ac:dyDescent="0.2">
      <c r="A17" s="331" t="s">
        <v>328</v>
      </c>
      <c r="B17" s="174"/>
      <c r="C17" s="356"/>
      <c r="D17" s="356"/>
      <c r="E17" s="337"/>
      <c r="F17" s="340"/>
      <c r="G17" s="345"/>
      <c r="H17" s="341"/>
      <c r="I17" s="341"/>
      <c r="J17" s="341"/>
      <c r="K17" s="151" t="s">
        <v>394</v>
      </c>
      <c r="L17" s="356" t="s">
        <v>208</v>
      </c>
      <c r="M17" s="331" t="s">
        <v>206</v>
      </c>
      <c r="N17" s="346"/>
    </row>
    <row r="18" spans="1:14" x14ac:dyDescent="0.2">
      <c r="A18" s="331" t="s">
        <v>328</v>
      </c>
      <c r="B18" s="174"/>
      <c r="C18" s="356"/>
      <c r="D18" s="356"/>
      <c r="E18" s="337"/>
      <c r="F18" s="340"/>
      <c r="G18" s="345"/>
      <c r="H18" s="341"/>
      <c r="I18" s="341"/>
      <c r="J18" s="341"/>
      <c r="K18" s="151" t="s">
        <v>395</v>
      </c>
      <c r="L18" s="151" t="s">
        <v>207</v>
      </c>
      <c r="M18" s="331" t="s">
        <v>206</v>
      </c>
      <c r="N18" s="346"/>
    </row>
    <row r="19" spans="1:14" x14ac:dyDescent="0.2">
      <c r="A19" s="247" t="s">
        <v>328</v>
      </c>
      <c r="B19" s="174"/>
      <c r="C19" s="359"/>
      <c r="D19" s="151"/>
      <c r="E19" s="337"/>
      <c r="F19" s="340"/>
      <c r="G19" s="345"/>
      <c r="H19" s="367"/>
      <c r="I19" s="367"/>
      <c r="J19" s="367"/>
      <c r="K19" s="151" t="s">
        <v>396</v>
      </c>
      <c r="L19" s="180" t="s">
        <v>371</v>
      </c>
      <c r="M19" s="247" t="s">
        <v>210</v>
      </c>
      <c r="N19" s="346"/>
    </row>
    <row r="20" spans="1:14" x14ac:dyDescent="0.2">
      <c r="A20" s="375" t="s">
        <v>328</v>
      </c>
      <c r="B20" s="174"/>
      <c r="C20" s="360"/>
      <c r="D20" s="361"/>
      <c r="F20" s="327"/>
      <c r="G20" s="374" t="s">
        <v>378</v>
      </c>
      <c r="H20" s="635" t="s">
        <v>9</v>
      </c>
      <c r="I20" s="636"/>
      <c r="J20" s="636"/>
      <c r="K20" s="636"/>
      <c r="L20" s="636"/>
      <c r="M20" s="637"/>
    </row>
    <row r="21" spans="1:14" x14ac:dyDescent="0.2">
      <c r="A21" s="332" t="s">
        <v>439</v>
      </c>
      <c r="B21" s="174"/>
      <c r="C21" s="360"/>
      <c r="D21" s="361"/>
      <c r="F21" s="327"/>
      <c r="G21" s="342" t="s">
        <v>378</v>
      </c>
      <c r="H21" s="593" t="s">
        <v>446</v>
      </c>
      <c r="I21" s="594"/>
      <c r="J21" s="594"/>
      <c r="K21" s="594"/>
      <c r="L21" s="594"/>
      <c r="M21" s="595"/>
    </row>
    <row r="22" spans="1:14" x14ac:dyDescent="0.2">
      <c r="A22" s="616" t="s">
        <v>328</v>
      </c>
      <c r="B22" s="354"/>
      <c r="C22" s="362"/>
      <c r="D22" s="362"/>
      <c r="F22" s="338"/>
      <c r="G22" s="342" t="s">
        <v>364</v>
      </c>
      <c r="H22" s="604" t="s">
        <v>203</v>
      </c>
      <c r="I22" s="605"/>
      <c r="J22" s="605"/>
      <c r="K22" s="605"/>
      <c r="L22" s="605"/>
      <c r="M22" s="606"/>
    </row>
    <row r="23" spans="1:14" x14ac:dyDescent="0.2">
      <c r="A23" s="617"/>
      <c r="B23" s="354"/>
      <c r="C23" s="357"/>
      <c r="D23" s="362"/>
      <c r="F23" s="338"/>
      <c r="G23" s="175"/>
      <c r="H23" s="604" t="s">
        <v>363</v>
      </c>
      <c r="I23" s="605"/>
      <c r="J23" s="605"/>
      <c r="K23" s="605"/>
      <c r="L23" s="605"/>
      <c r="M23" s="606"/>
    </row>
    <row r="24" spans="1:14" x14ac:dyDescent="0.2">
      <c r="A24" s="332" t="s">
        <v>328</v>
      </c>
      <c r="B24" s="174"/>
      <c r="C24" s="246"/>
      <c r="D24" s="361"/>
      <c r="F24" s="338"/>
      <c r="G24" s="175"/>
      <c r="H24" s="593" t="s">
        <v>385</v>
      </c>
      <c r="I24" s="594"/>
      <c r="J24" s="594"/>
      <c r="K24" s="594"/>
      <c r="L24" s="594"/>
      <c r="M24" s="595"/>
    </row>
    <row r="25" spans="1:14" x14ac:dyDescent="0.2">
      <c r="A25" s="332" t="s">
        <v>328</v>
      </c>
      <c r="B25" s="174"/>
      <c r="C25" s="365"/>
      <c r="D25" s="364"/>
      <c r="E25" s="354"/>
      <c r="F25" s="339"/>
      <c r="G25" s="175"/>
      <c r="H25" s="345" t="s">
        <v>372</v>
      </c>
      <c r="I25" s="593" t="s">
        <v>8</v>
      </c>
      <c r="J25" s="594"/>
      <c r="K25" s="594"/>
      <c r="L25" s="594"/>
      <c r="M25" s="595"/>
    </row>
    <row r="26" spans="1:14" x14ac:dyDescent="0.2">
      <c r="A26" s="253" t="s">
        <v>328</v>
      </c>
      <c r="B26" s="174"/>
      <c r="C26" s="356"/>
      <c r="D26" s="356"/>
      <c r="F26" s="338"/>
      <c r="G26" s="175"/>
      <c r="H26" s="368" t="s">
        <v>365</v>
      </c>
      <c r="I26" s="607" t="s">
        <v>366</v>
      </c>
      <c r="J26" s="608"/>
      <c r="K26" s="608"/>
      <c r="L26" s="608"/>
      <c r="M26" s="609"/>
    </row>
    <row r="27" spans="1:14" x14ac:dyDescent="0.2">
      <c r="A27" s="336" t="s">
        <v>328</v>
      </c>
      <c r="B27" s="174"/>
      <c r="C27" s="363"/>
      <c r="D27" s="356"/>
      <c r="F27" s="338"/>
      <c r="G27" s="175"/>
      <c r="H27" s="341"/>
      <c r="I27" s="610" t="s">
        <v>367</v>
      </c>
      <c r="J27" s="611"/>
      <c r="K27" s="611"/>
      <c r="L27" s="611"/>
      <c r="M27" s="612"/>
    </row>
    <row r="28" spans="1:14" x14ac:dyDescent="0.2">
      <c r="A28" s="332" t="s">
        <v>328</v>
      </c>
      <c r="B28" s="174"/>
      <c r="C28" s="246"/>
      <c r="D28" s="363"/>
      <c r="F28" s="328"/>
      <c r="G28" s="180"/>
      <c r="H28" s="367"/>
      <c r="I28" s="593" t="s">
        <v>52</v>
      </c>
      <c r="J28" s="594"/>
      <c r="K28" s="594"/>
      <c r="L28" s="594"/>
      <c r="M28" s="595"/>
    </row>
    <row r="29" spans="1:14" x14ac:dyDescent="0.2">
      <c r="J29" s="168"/>
      <c r="K29" s="168"/>
      <c r="L29" s="168"/>
      <c r="M29" s="168"/>
    </row>
  </sheetData>
  <mergeCells count="25">
    <mergeCell ref="F2:M2"/>
    <mergeCell ref="A22:A23"/>
    <mergeCell ref="G3:M3"/>
    <mergeCell ref="G4:M4"/>
    <mergeCell ref="G5:M5"/>
    <mergeCell ref="G7:M7"/>
    <mergeCell ref="J8:M8"/>
    <mergeCell ref="J9:M9"/>
    <mergeCell ref="L10:M10"/>
    <mergeCell ref="G6:M6"/>
    <mergeCell ref="H20:M20"/>
    <mergeCell ref="J10:J12"/>
    <mergeCell ref="K11:K12"/>
    <mergeCell ref="I28:M28"/>
    <mergeCell ref="L11:M11"/>
    <mergeCell ref="L14:M14"/>
    <mergeCell ref="K15:M15"/>
    <mergeCell ref="K16:M16"/>
    <mergeCell ref="H21:M21"/>
    <mergeCell ref="H22:M22"/>
    <mergeCell ref="H23:M23"/>
    <mergeCell ref="H24:M24"/>
    <mergeCell ref="I25:M25"/>
    <mergeCell ref="I26:M26"/>
    <mergeCell ref="I27:M27"/>
  </mergeCells>
  <pageMargins left="0.23622047244094488" right="0.23622047244094488" top="0.74803149606299213" bottom="0.74803149606299213" header="0.31496062992125984" footer="0.31496062992125984"/>
  <pageSetup paperSize="9" scale="75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6"/>
  <dimension ref="C1:U47"/>
  <sheetViews>
    <sheetView showGridLines="0" zoomScale="75" zoomScaleNormal="75" zoomScalePageLayoutView="75" workbookViewId="0">
      <selection activeCell="X30" sqref="X30"/>
    </sheetView>
  </sheetViews>
  <sheetFormatPr baseColWidth="10" defaultRowHeight="14.4" x14ac:dyDescent="0.3"/>
  <cols>
    <col min="1" max="6" width="11.5546875" style="31"/>
    <col min="7" max="7" width="21.33203125" style="31" bestFit="1" customWidth="1"/>
    <col min="8" max="8" width="8.44140625" style="31" bestFit="1" customWidth="1"/>
    <col min="9" max="9" width="11.5546875" style="31"/>
    <col min="10" max="14" width="4.88671875" style="31" customWidth="1"/>
    <col min="15" max="15" width="6.88671875" style="31" customWidth="1"/>
    <col min="16" max="21" width="4.88671875" style="33" customWidth="1"/>
    <col min="22" max="16384" width="11.5546875" style="31"/>
  </cols>
  <sheetData>
    <row r="1" spans="3:18" s="33" customFormat="1" x14ac:dyDescent="0.3">
      <c r="C1" s="31"/>
      <c r="D1" s="31"/>
      <c r="E1" s="31"/>
      <c r="F1" s="31"/>
      <c r="G1" s="31"/>
      <c r="H1" s="31"/>
      <c r="I1" s="31"/>
      <c r="O1" s="31"/>
    </row>
    <row r="2" spans="3:18" s="33" customFormat="1" x14ac:dyDescent="0.3">
      <c r="C2" s="31"/>
      <c r="D2" s="31"/>
      <c r="E2" s="31"/>
      <c r="F2" s="31"/>
      <c r="G2" s="31"/>
      <c r="H2" s="31"/>
      <c r="I2" s="31"/>
      <c r="J2" s="641"/>
      <c r="K2" s="641"/>
      <c r="L2" s="641"/>
      <c r="M2" s="641"/>
      <c r="N2" s="641"/>
      <c r="O2" s="31"/>
    </row>
    <row r="3" spans="3:18" s="33" customFormat="1" x14ac:dyDescent="0.3">
      <c r="C3" s="31"/>
      <c r="D3" s="31"/>
      <c r="E3" s="31"/>
      <c r="F3" s="31"/>
      <c r="G3" s="31"/>
      <c r="H3" s="31"/>
      <c r="I3" s="31"/>
      <c r="J3" s="37"/>
      <c r="K3" s="38"/>
      <c r="L3" s="38"/>
      <c r="O3" s="31"/>
    </row>
    <row r="4" spans="3:18" s="33" customFormat="1" ht="8.4" customHeight="1" x14ac:dyDescent="0.3"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</row>
    <row r="7" spans="3:18" s="33" customFormat="1" x14ac:dyDescent="0.3"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</row>
    <row r="8" spans="3:18" s="33" customFormat="1" x14ac:dyDescent="0.3">
      <c r="C8" s="31"/>
      <c r="D8" s="31"/>
      <c r="E8" s="31"/>
      <c r="F8" s="31"/>
      <c r="G8" s="31"/>
      <c r="H8" s="31"/>
      <c r="I8" s="31"/>
      <c r="O8" s="31"/>
    </row>
    <row r="9" spans="3:18" s="33" customFormat="1" x14ac:dyDescent="0.3">
      <c r="C9" s="31"/>
      <c r="D9" s="31"/>
      <c r="E9" s="31"/>
      <c r="F9" s="31"/>
      <c r="G9" s="31"/>
      <c r="H9" s="31"/>
      <c r="I9" s="31"/>
      <c r="O9" s="31"/>
    </row>
    <row r="10" spans="3:18" s="33" customFormat="1" x14ac:dyDescent="0.3">
      <c r="C10" s="31"/>
      <c r="D10" s="31"/>
      <c r="E10" s="31"/>
      <c r="F10" s="31"/>
      <c r="G10" s="31"/>
      <c r="H10" s="31"/>
      <c r="I10" s="31"/>
      <c r="O10" s="31"/>
    </row>
    <row r="11" spans="3:18" s="33" customFormat="1" x14ac:dyDescent="0.3">
      <c r="C11" s="31"/>
      <c r="D11" s="31"/>
      <c r="E11" s="31"/>
      <c r="F11" s="31"/>
      <c r="G11" s="31"/>
      <c r="H11" s="31"/>
      <c r="I11" s="31"/>
      <c r="O11" s="31"/>
      <c r="P11" s="642"/>
      <c r="Q11" s="642"/>
      <c r="R11" s="642"/>
    </row>
    <row r="12" spans="3:18" s="33" customFormat="1" x14ac:dyDescent="0.3">
      <c r="C12" s="31"/>
      <c r="D12" s="31"/>
      <c r="E12" s="31"/>
      <c r="F12" s="31"/>
      <c r="G12" s="31"/>
      <c r="H12" s="31"/>
      <c r="I12" s="31"/>
      <c r="O12" s="31"/>
    </row>
    <row r="13" spans="3:18" s="33" customFormat="1" x14ac:dyDescent="0.3">
      <c r="C13" s="31"/>
      <c r="D13" s="31"/>
      <c r="E13" s="31"/>
      <c r="F13" s="31"/>
      <c r="G13" s="31"/>
      <c r="H13" s="31"/>
      <c r="I13" s="31"/>
      <c r="O13" s="31"/>
    </row>
    <row r="19" spans="3:19" ht="15.6" x14ac:dyDescent="0.3">
      <c r="M19" s="74" t="s">
        <v>222</v>
      </c>
      <c r="N19" s="45" t="s">
        <v>224</v>
      </c>
      <c r="O19" s="45"/>
      <c r="P19" s="46"/>
      <c r="Q19" s="46"/>
      <c r="R19" s="46"/>
      <c r="S19" s="46"/>
    </row>
    <row r="20" spans="3:19" x14ac:dyDescent="0.3">
      <c r="N20" s="45" t="s">
        <v>223</v>
      </c>
      <c r="O20" s="45"/>
      <c r="P20" s="46"/>
      <c r="Q20" s="46"/>
      <c r="R20" s="46"/>
      <c r="S20" s="46"/>
    </row>
    <row r="22" spans="3:19" s="33" customFormat="1" x14ac:dyDescent="0.3"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2"/>
    </row>
    <row r="23" spans="3:19" s="33" customFormat="1" x14ac:dyDescent="0.3"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2"/>
    </row>
    <row r="24" spans="3:19" s="33" customFormat="1" x14ac:dyDescent="0.3">
      <c r="C24" s="31"/>
      <c r="D24" s="31"/>
      <c r="E24" s="31"/>
      <c r="F24" s="31"/>
      <c r="G24" s="31"/>
      <c r="H24" s="31"/>
      <c r="I24" s="31"/>
      <c r="O24" s="32"/>
    </row>
    <row r="25" spans="3:19" s="33" customFormat="1" x14ac:dyDescent="0.3">
      <c r="C25" s="31"/>
      <c r="D25" s="31"/>
      <c r="E25" s="31"/>
      <c r="F25" s="31"/>
      <c r="G25" s="31"/>
      <c r="H25" s="31"/>
      <c r="I25" s="31"/>
      <c r="O25" s="32"/>
    </row>
    <row r="26" spans="3:19" s="33" customFormat="1" ht="21" x14ac:dyDescent="0.3">
      <c r="C26" s="44" t="s">
        <v>222</v>
      </c>
      <c r="D26" s="31"/>
      <c r="E26" s="31"/>
      <c r="F26" s="31"/>
      <c r="G26" s="31"/>
      <c r="H26" s="31"/>
      <c r="I26" s="31"/>
      <c r="O26" s="32"/>
      <c r="P26" s="642"/>
      <c r="Q26" s="642"/>
      <c r="R26" s="642"/>
      <c r="S26" s="642"/>
    </row>
    <row r="27" spans="3:19" s="33" customFormat="1" ht="15.6" customHeight="1" x14ac:dyDescent="0.3">
      <c r="C27" s="31"/>
      <c r="D27" s="31"/>
      <c r="E27" s="31"/>
      <c r="F27" s="31"/>
      <c r="G27" s="31"/>
      <c r="H27" s="31"/>
      <c r="I27" s="31"/>
      <c r="O27" s="32"/>
      <c r="P27" s="41"/>
      <c r="Q27" s="41"/>
      <c r="R27" s="41"/>
      <c r="S27" s="41"/>
    </row>
    <row r="28" spans="3:19" s="33" customFormat="1" x14ac:dyDescent="0.3">
      <c r="C28" s="31"/>
      <c r="D28" s="31"/>
      <c r="E28" s="31"/>
      <c r="F28" s="31"/>
      <c r="G28" s="31"/>
      <c r="H28" s="31"/>
      <c r="I28" s="31"/>
      <c r="O28" s="32"/>
      <c r="P28" s="41"/>
      <c r="Q28" s="41"/>
      <c r="R28" s="41"/>
      <c r="S28" s="41"/>
    </row>
    <row r="29" spans="3:19" s="33" customFormat="1" x14ac:dyDescent="0.3">
      <c r="C29" s="31"/>
      <c r="D29" s="31"/>
      <c r="E29" s="31"/>
      <c r="F29" s="31"/>
      <c r="G29" s="31"/>
      <c r="H29" s="31"/>
      <c r="I29" s="31"/>
      <c r="O29" s="32"/>
      <c r="P29" s="41"/>
      <c r="Q29" s="41"/>
      <c r="R29" s="41"/>
      <c r="S29" s="41"/>
    </row>
    <row r="30" spans="3:19" s="33" customFormat="1" x14ac:dyDescent="0.3"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2"/>
      <c r="P30" s="41"/>
      <c r="Q30" s="41"/>
      <c r="R30" s="41"/>
      <c r="S30" s="41"/>
    </row>
    <row r="31" spans="3:19" s="33" customFormat="1" x14ac:dyDescent="0.3">
      <c r="C31" s="31"/>
      <c r="D31" s="31"/>
      <c r="E31" s="31"/>
      <c r="F31" s="31"/>
      <c r="G31" s="31"/>
      <c r="H31" s="31"/>
      <c r="I31" s="31"/>
      <c r="J31" s="32"/>
      <c r="K31" s="32"/>
      <c r="L31" s="32"/>
      <c r="M31" s="32"/>
      <c r="N31" s="32"/>
      <c r="O31" s="32"/>
      <c r="P31" s="41"/>
      <c r="Q31" s="41"/>
      <c r="R31" s="41"/>
      <c r="S31" s="41"/>
    </row>
    <row r="32" spans="3:19" s="33" customFormat="1" x14ac:dyDescent="0.3">
      <c r="C32" s="31"/>
      <c r="D32" s="31"/>
      <c r="E32" s="31"/>
      <c r="F32" s="31"/>
      <c r="G32" s="31"/>
      <c r="H32" s="31"/>
      <c r="J32" s="40"/>
      <c r="K32" s="40"/>
      <c r="L32" s="40"/>
      <c r="M32" s="40"/>
      <c r="N32" s="40"/>
      <c r="O32" s="32"/>
      <c r="P32" s="41"/>
      <c r="Q32" s="41"/>
      <c r="R32" s="41"/>
      <c r="S32" s="41"/>
    </row>
    <row r="33" spans="3:19" s="33" customFormat="1" x14ac:dyDescent="0.3">
      <c r="C33" s="31"/>
      <c r="D33" s="31"/>
      <c r="E33" s="31"/>
      <c r="F33" s="31"/>
      <c r="G33" s="31"/>
      <c r="H33" s="31"/>
      <c r="O33" s="32"/>
      <c r="P33" s="41"/>
      <c r="Q33" s="41"/>
      <c r="R33" s="41"/>
      <c r="S33" s="41"/>
    </row>
    <row r="34" spans="3:19" s="33" customFormat="1" x14ac:dyDescent="0.3">
      <c r="C34" s="31"/>
      <c r="D34" s="31"/>
      <c r="E34" s="31"/>
      <c r="F34" s="31"/>
      <c r="G34" s="31"/>
      <c r="H34" s="31"/>
      <c r="O34" s="32"/>
      <c r="P34" s="41"/>
      <c r="Q34" s="41"/>
      <c r="R34" s="41"/>
      <c r="S34" s="41"/>
    </row>
    <row r="35" spans="3:19" s="33" customFormat="1" x14ac:dyDescent="0.3">
      <c r="C35" s="31"/>
      <c r="D35" s="31"/>
      <c r="E35" s="31"/>
      <c r="F35" s="31"/>
      <c r="G35" s="31"/>
      <c r="H35" s="31"/>
      <c r="O35" s="32"/>
      <c r="P35" s="41"/>
      <c r="Q35" s="41"/>
      <c r="R35" s="41"/>
      <c r="S35" s="41"/>
    </row>
    <row r="36" spans="3:19" s="33" customFormat="1" x14ac:dyDescent="0.3">
      <c r="C36" s="31"/>
      <c r="D36" s="31"/>
      <c r="E36" s="31"/>
      <c r="F36" s="31"/>
      <c r="G36" s="31"/>
      <c r="H36" s="31"/>
      <c r="O36" s="31"/>
    </row>
    <row r="37" spans="3:19" s="33" customFormat="1" x14ac:dyDescent="0.3">
      <c r="C37" s="31"/>
      <c r="D37" s="31"/>
      <c r="E37" s="31"/>
      <c r="F37" s="31"/>
      <c r="G37" s="31"/>
      <c r="H37" s="31"/>
      <c r="O37" s="31"/>
    </row>
    <row r="38" spans="3:19" s="33" customFormat="1" ht="15.6" x14ac:dyDescent="0.3">
      <c r="C38" s="31"/>
      <c r="D38" s="31"/>
      <c r="E38" s="31"/>
      <c r="F38" s="31"/>
      <c r="G38" s="31"/>
      <c r="H38" s="31"/>
      <c r="O38" s="31"/>
      <c r="S38" s="36"/>
    </row>
    <row r="39" spans="3:19" s="33" customFormat="1" x14ac:dyDescent="0.3">
      <c r="C39" s="31"/>
      <c r="D39" s="31"/>
      <c r="E39" s="31"/>
      <c r="F39" s="31"/>
      <c r="G39" s="31"/>
      <c r="H39" s="31"/>
      <c r="O39" s="31"/>
    </row>
    <row r="40" spans="3:19" s="33" customFormat="1" x14ac:dyDescent="0.3">
      <c r="C40" s="31"/>
      <c r="D40" s="31"/>
      <c r="E40" s="31"/>
      <c r="F40" s="31"/>
      <c r="G40" s="31"/>
      <c r="H40" s="31"/>
      <c r="O40" s="31"/>
    </row>
    <row r="41" spans="3:19" s="33" customFormat="1" ht="14.4" customHeight="1" x14ac:dyDescent="0.3">
      <c r="C41" s="31"/>
      <c r="D41" s="31"/>
      <c r="E41" s="31"/>
      <c r="F41" s="31"/>
      <c r="G41" s="31"/>
      <c r="H41" s="31"/>
      <c r="J41" s="40"/>
      <c r="K41" s="40"/>
      <c r="L41" s="40"/>
      <c r="M41" s="40"/>
      <c r="N41" s="40"/>
      <c r="O41" s="31"/>
    </row>
    <row r="42" spans="3:19" s="33" customFormat="1" ht="14.4" customHeight="1" x14ac:dyDescent="0.3">
      <c r="C42" s="31"/>
      <c r="D42" s="31"/>
      <c r="E42" s="31"/>
      <c r="F42" s="31"/>
      <c r="G42" s="31"/>
      <c r="H42" s="31"/>
      <c r="J42" s="39"/>
      <c r="K42" s="34"/>
      <c r="L42" s="34"/>
      <c r="O42" s="31"/>
    </row>
    <row r="43" spans="3:19" s="33" customFormat="1" x14ac:dyDescent="0.3">
      <c r="C43" s="31"/>
      <c r="D43" s="31"/>
      <c r="E43" s="31"/>
      <c r="F43" s="31"/>
      <c r="G43" s="31"/>
      <c r="H43" s="31"/>
      <c r="O43" s="31"/>
    </row>
    <row r="44" spans="3:19" s="33" customFormat="1" x14ac:dyDescent="0.3">
      <c r="C44" s="31"/>
      <c r="D44" s="31"/>
      <c r="E44" s="31"/>
      <c r="F44" s="31"/>
      <c r="G44" s="31"/>
      <c r="H44" s="31"/>
      <c r="J44" s="34"/>
      <c r="K44" s="34"/>
      <c r="L44" s="34"/>
      <c r="M44" s="34"/>
      <c r="N44" s="34"/>
      <c r="O44" s="31"/>
    </row>
    <row r="45" spans="3:19" s="33" customFormat="1" x14ac:dyDescent="0.3">
      <c r="C45" s="31"/>
      <c r="D45" s="31"/>
      <c r="E45" s="31"/>
      <c r="F45" s="31"/>
      <c r="G45" s="31"/>
      <c r="H45" s="31"/>
      <c r="O45" s="31"/>
    </row>
    <row r="46" spans="3:19" s="33" customFormat="1" x14ac:dyDescent="0.3">
      <c r="C46" s="31"/>
      <c r="D46" s="31"/>
      <c r="E46" s="31"/>
      <c r="F46" s="31"/>
      <c r="G46" s="31"/>
      <c r="H46" s="31"/>
      <c r="J46" s="35"/>
      <c r="O46" s="31"/>
    </row>
    <row r="47" spans="3:19" s="33" customFormat="1" x14ac:dyDescent="0.3">
      <c r="C47" s="31"/>
      <c r="D47" s="31"/>
      <c r="E47" s="31"/>
      <c r="F47" s="31"/>
      <c r="G47" s="31"/>
      <c r="H47" s="31"/>
      <c r="O47" s="31"/>
    </row>
  </sheetData>
  <mergeCells count="3">
    <mergeCell ref="J2:N2"/>
    <mergeCell ref="P11:R11"/>
    <mergeCell ref="P26:S26"/>
  </mergeCells>
  <pageMargins left="0.23622047244094491" right="0.23622047244094491" top="0.74803149606299213" bottom="0.74803149606299213" header="0.31496062992125984" footer="0.31496062992125984"/>
  <pageSetup paperSize="9" scale="85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6"/>
  <dimension ref="B2:R39"/>
  <sheetViews>
    <sheetView showGridLines="0" topLeftCell="D1" zoomScale="75" zoomScaleNormal="75" workbookViewId="0">
      <selection activeCell="G36" sqref="G36:G37"/>
    </sheetView>
  </sheetViews>
  <sheetFormatPr baseColWidth="10" defaultRowHeight="14.4" x14ac:dyDescent="0.3"/>
  <cols>
    <col min="1" max="1" width="4.88671875" style="1" customWidth="1"/>
    <col min="2" max="2" width="4.109375" style="1" bestFit="1" customWidth="1"/>
    <col min="3" max="3" width="17.88671875" style="1" bestFit="1" customWidth="1"/>
    <col min="4" max="4" width="3.21875" style="1" customWidth="1"/>
    <col min="5" max="5" width="11.5546875" style="1"/>
    <col min="6" max="6" width="17.88671875" style="1" bestFit="1" customWidth="1"/>
    <col min="7" max="7" width="25.33203125" style="1" customWidth="1"/>
    <col min="8" max="8" width="7.44140625" style="1" customWidth="1"/>
    <col min="9" max="9" width="30.21875" style="1" bestFit="1" customWidth="1"/>
    <col min="10" max="10" width="31.33203125" style="1" customWidth="1"/>
    <col min="11" max="11" width="3.5546875" style="7" customWidth="1"/>
    <col min="12" max="12" width="16.44140625" style="6" bestFit="1" customWidth="1"/>
    <col min="13" max="13" width="16.109375" style="6" bestFit="1" customWidth="1"/>
    <col min="14" max="14" width="8.109375" style="1" customWidth="1"/>
    <col min="15" max="15" width="23.88671875" style="1" customWidth="1"/>
    <col min="16" max="16" width="5.109375" style="1" bestFit="1" customWidth="1"/>
    <col min="17" max="17" width="16.44140625" style="1" bestFit="1" customWidth="1"/>
    <col min="18" max="18" width="16.44140625" style="1" customWidth="1"/>
    <col min="19" max="19" width="16.109375" style="1" bestFit="1" customWidth="1"/>
    <col min="20" max="16384" width="11.5546875" style="1"/>
  </cols>
  <sheetData>
    <row r="2" spans="2:18" x14ac:dyDescent="0.3">
      <c r="B2" s="675" t="s">
        <v>21</v>
      </c>
      <c r="C2" s="676"/>
      <c r="E2" s="677" t="s">
        <v>18</v>
      </c>
      <c r="F2" s="677"/>
      <c r="G2" s="4"/>
    </row>
    <row r="3" spans="2:18" x14ac:dyDescent="0.3">
      <c r="B3" s="10" t="s">
        <v>15</v>
      </c>
      <c r="C3" s="10" t="s">
        <v>19</v>
      </c>
      <c r="E3" s="10" t="s">
        <v>15</v>
      </c>
      <c r="F3" s="10" t="s">
        <v>19</v>
      </c>
      <c r="G3" s="5"/>
    </row>
    <row r="4" spans="2:18" x14ac:dyDescent="0.3">
      <c r="B4" s="678">
        <v>221</v>
      </c>
      <c r="C4" s="681">
        <v>2583</v>
      </c>
      <c r="E4" s="684">
        <v>2581</v>
      </c>
      <c r="F4" s="678">
        <v>221</v>
      </c>
      <c r="G4" s="684" t="s">
        <v>0</v>
      </c>
      <c r="H4" s="10" t="s">
        <v>15</v>
      </c>
      <c r="I4" s="10" t="s">
        <v>24</v>
      </c>
      <c r="J4" s="10" t="s">
        <v>16</v>
      </c>
      <c r="K4" s="8"/>
    </row>
    <row r="5" spans="2:18" x14ac:dyDescent="0.3">
      <c r="B5" s="679"/>
      <c r="C5" s="682"/>
      <c r="E5" s="685"/>
      <c r="F5" s="679"/>
      <c r="G5" s="685"/>
      <c r="H5" s="11">
        <v>2581</v>
      </c>
      <c r="I5" s="3" t="s">
        <v>25</v>
      </c>
      <c r="J5" s="18">
        <v>2584</v>
      </c>
      <c r="K5" s="9"/>
      <c r="M5" s="6" t="s">
        <v>18</v>
      </c>
    </row>
    <row r="6" spans="2:18" x14ac:dyDescent="0.3">
      <c r="B6" s="679"/>
      <c r="C6" s="682"/>
      <c r="E6" s="688">
        <v>2582</v>
      </c>
      <c r="F6" s="679"/>
      <c r="G6" s="688" t="s">
        <v>1</v>
      </c>
      <c r="H6" s="10" t="s">
        <v>15</v>
      </c>
      <c r="I6" s="10" t="s">
        <v>22</v>
      </c>
      <c r="J6" s="3"/>
    </row>
    <row r="7" spans="2:18" x14ac:dyDescent="0.3">
      <c r="B7" s="679"/>
      <c r="C7" s="682"/>
      <c r="E7" s="689"/>
      <c r="F7" s="679"/>
      <c r="G7" s="689"/>
      <c r="H7" s="19">
        <v>2582</v>
      </c>
      <c r="I7" s="11">
        <v>2581</v>
      </c>
      <c r="J7" s="3"/>
      <c r="M7" s="6" t="s">
        <v>18</v>
      </c>
    </row>
    <row r="8" spans="2:18" x14ac:dyDescent="0.3">
      <c r="B8" s="679"/>
      <c r="C8" s="682"/>
      <c r="E8" s="670">
        <v>2583</v>
      </c>
      <c r="F8" s="679"/>
      <c r="G8" s="670" t="s">
        <v>2</v>
      </c>
      <c r="H8" s="10" t="s">
        <v>15</v>
      </c>
      <c r="I8" s="10" t="s">
        <v>26</v>
      </c>
      <c r="J8" s="10" t="s">
        <v>23</v>
      </c>
      <c r="K8" s="8"/>
    </row>
    <row r="9" spans="2:18" x14ac:dyDescent="0.3">
      <c r="B9" s="679"/>
      <c r="C9" s="682"/>
      <c r="E9" s="671"/>
      <c r="F9" s="679"/>
      <c r="G9" s="671"/>
      <c r="H9" s="13">
        <v>2583</v>
      </c>
      <c r="I9" s="3">
        <v>1080</v>
      </c>
      <c r="J9" s="3">
        <v>569</v>
      </c>
      <c r="K9" s="9"/>
      <c r="M9" s="6" t="s">
        <v>18</v>
      </c>
    </row>
    <row r="10" spans="2:18" x14ac:dyDescent="0.3">
      <c r="B10" s="679"/>
      <c r="C10" s="682"/>
      <c r="E10" s="672">
        <v>2584</v>
      </c>
      <c r="F10" s="679"/>
      <c r="G10" s="672" t="s">
        <v>3</v>
      </c>
      <c r="H10" s="10" t="s">
        <v>15</v>
      </c>
      <c r="I10" s="10" t="s">
        <v>27</v>
      </c>
      <c r="J10" s="10" t="s">
        <v>17</v>
      </c>
      <c r="K10" s="8"/>
    </row>
    <row r="11" spans="2:18" x14ac:dyDescent="0.3">
      <c r="B11" s="679"/>
      <c r="C11" s="682"/>
      <c r="E11" s="673"/>
      <c r="F11" s="679"/>
      <c r="G11" s="673"/>
      <c r="H11" s="18">
        <v>2584</v>
      </c>
      <c r="I11" s="3">
        <v>1</v>
      </c>
      <c r="J11" s="13">
        <v>2583</v>
      </c>
      <c r="K11" s="9"/>
      <c r="L11" s="6" t="s">
        <v>30</v>
      </c>
      <c r="M11" s="6" t="s">
        <v>18</v>
      </c>
    </row>
    <row r="12" spans="2:18" x14ac:dyDescent="0.3">
      <c r="B12" s="679"/>
      <c r="C12" s="682"/>
      <c r="E12" s="652">
        <v>2585</v>
      </c>
      <c r="F12" s="679"/>
      <c r="G12" s="652" t="s">
        <v>4</v>
      </c>
      <c r="H12" s="10" t="s">
        <v>15</v>
      </c>
      <c r="I12" s="10" t="s">
        <v>27</v>
      </c>
      <c r="J12" s="3"/>
      <c r="K12" s="9"/>
      <c r="O12" s="674" t="s">
        <v>28</v>
      </c>
      <c r="P12" s="10" t="s">
        <v>15</v>
      </c>
      <c r="Q12" s="10" t="s">
        <v>38</v>
      </c>
    </row>
    <row r="13" spans="2:18" x14ac:dyDescent="0.3">
      <c r="B13" s="679"/>
      <c r="C13" s="682"/>
      <c r="E13" s="653"/>
      <c r="F13" s="679"/>
      <c r="G13" s="653"/>
      <c r="H13" s="28">
        <v>2585</v>
      </c>
      <c r="I13" s="3">
        <v>1</v>
      </c>
      <c r="J13" s="3"/>
      <c r="K13" s="9"/>
      <c r="L13" s="30" t="s">
        <v>28</v>
      </c>
      <c r="M13" s="6" t="s">
        <v>18</v>
      </c>
      <c r="O13" s="653"/>
      <c r="P13" s="28">
        <v>2585</v>
      </c>
      <c r="Q13" s="21">
        <v>2593</v>
      </c>
      <c r="R13" s="1" t="s">
        <v>4</v>
      </c>
    </row>
    <row r="14" spans="2:18" x14ac:dyDescent="0.3">
      <c r="B14" s="679"/>
      <c r="C14" s="682"/>
      <c r="E14" s="643">
        <v>2586</v>
      </c>
      <c r="F14" s="679"/>
      <c r="G14" s="643" t="s">
        <v>5</v>
      </c>
      <c r="H14" s="10" t="s">
        <v>15</v>
      </c>
      <c r="I14" s="10" t="s">
        <v>35</v>
      </c>
      <c r="J14" s="3"/>
      <c r="K14" s="9"/>
      <c r="O14" s="647" t="s">
        <v>31</v>
      </c>
      <c r="P14" s="10" t="s">
        <v>15</v>
      </c>
      <c r="Q14" s="10" t="s">
        <v>42</v>
      </c>
    </row>
    <row r="15" spans="2:18" x14ac:dyDescent="0.3">
      <c r="B15" s="679"/>
      <c r="C15" s="682"/>
      <c r="E15" s="644"/>
      <c r="F15" s="679"/>
      <c r="G15" s="644"/>
      <c r="H15" s="17">
        <v>2586</v>
      </c>
      <c r="I15" s="28">
        <v>2585</v>
      </c>
      <c r="J15" s="3"/>
      <c r="K15" s="9"/>
      <c r="L15" s="27" t="s">
        <v>31</v>
      </c>
      <c r="M15" s="6" t="s">
        <v>18</v>
      </c>
      <c r="O15" s="647"/>
      <c r="P15" s="26">
        <v>2586</v>
      </c>
      <c r="Q15" s="3" t="s">
        <v>20</v>
      </c>
      <c r="R15" s="6" t="s">
        <v>5</v>
      </c>
    </row>
    <row r="16" spans="2:18" x14ac:dyDescent="0.3">
      <c r="B16" s="679"/>
      <c r="C16" s="682"/>
      <c r="E16" s="645">
        <v>2587</v>
      </c>
      <c r="F16" s="679"/>
      <c r="G16" s="645" t="s">
        <v>6</v>
      </c>
      <c r="H16" s="10" t="s">
        <v>15</v>
      </c>
      <c r="I16" s="3"/>
      <c r="J16" s="3"/>
      <c r="K16" s="9"/>
    </row>
    <row r="17" spans="2:18" x14ac:dyDescent="0.3">
      <c r="B17" s="679"/>
      <c r="C17" s="682"/>
      <c r="E17" s="646"/>
      <c r="F17" s="679"/>
      <c r="G17" s="646"/>
      <c r="H17" s="12">
        <v>2587</v>
      </c>
      <c r="I17" s="3"/>
      <c r="J17" s="3"/>
      <c r="K17" s="9"/>
      <c r="M17" s="6" t="s">
        <v>18</v>
      </c>
    </row>
    <row r="18" spans="2:18" x14ac:dyDescent="0.3">
      <c r="B18" s="679"/>
      <c r="C18" s="682"/>
      <c r="E18" s="686">
        <v>2588</v>
      </c>
      <c r="F18" s="679"/>
      <c r="G18" s="686" t="s">
        <v>7</v>
      </c>
      <c r="H18" s="10" t="s">
        <v>15</v>
      </c>
      <c r="I18" s="10" t="s">
        <v>32</v>
      </c>
      <c r="J18" s="10" t="s">
        <v>33</v>
      </c>
      <c r="K18" s="8"/>
    </row>
    <row r="19" spans="2:18" x14ac:dyDescent="0.3">
      <c r="B19" s="679"/>
      <c r="C19" s="682"/>
      <c r="E19" s="687"/>
      <c r="F19" s="679"/>
      <c r="G19" s="687"/>
      <c r="H19" s="14">
        <v>2588</v>
      </c>
      <c r="I19" s="18">
        <v>2584</v>
      </c>
      <c r="J19" s="12">
        <v>2587</v>
      </c>
      <c r="K19" s="9"/>
      <c r="M19" s="6" t="s">
        <v>18</v>
      </c>
    </row>
    <row r="20" spans="2:18" x14ac:dyDescent="0.3">
      <c r="B20" s="679"/>
      <c r="C20" s="682"/>
      <c r="E20" s="648">
        <v>2589</v>
      </c>
      <c r="F20" s="679"/>
      <c r="G20" s="648" t="s">
        <v>8</v>
      </c>
      <c r="H20" s="10" t="s">
        <v>15</v>
      </c>
      <c r="I20" s="10" t="s">
        <v>32</v>
      </c>
      <c r="J20" s="10" t="s">
        <v>34</v>
      </c>
      <c r="K20" s="8"/>
    </row>
    <row r="21" spans="2:18" x14ac:dyDescent="0.3">
      <c r="B21" s="679"/>
      <c r="C21" s="682"/>
      <c r="E21" s="649"/>
      <c r="F21" s="679"/>
      <c r="G21" s="649"/>
      <c r="H21" s="15">
        <v>2589</v>
      </c>
      <c r="I21" s="18">
        <v>2584</v>
      </c>
      <c r="J21" s="28">
        <v>2585</v>
      </c>
      <c r="K21" s="9"/>
      <c r="M21" s="6" t="s">
        <v>18</v>
      </c>
    </row>
    <row r="22" spans="2:18" x14ac:dyDescent="0.3">
      <c r="B22" s="679"/>
      <c r="C22" s="682"/>
      <c r="E22" s="650">
        <v>2590</v>
      </c>
      <c r="F22" s="679"/>
      <c r="G22" s="650" t="s">
        <v>9</v>
      </c>
      <c r="H22" s="10" t="s">
        <v>15</v>
      </c>
      <c r="I22" s="10" t="s">
        <v>35</v>
      </c>
      <c r="J22" s="10" t="s">
        <v>33</v>
      </c>
      <c r="K22" s="8"/>
    </row>
    <row r="23" spans="2:18" x14ac:dyDescent="0.3">
      <c r="B23" s="680"/>
      <c r="C23" s="682"/>
      <c r="E23" s="651"/>
      <c r="F23" s="680"/>
      <c r="G23" s="651"/>
      <c r="H23" s="16">
        <v>2590</v>
      </c>
      <c r="I23" s="28">
        <v>2585</v>
      </c>
      <c r="J23" s="12">
        <v>2587</v>
      </c>
      <c r="K23" s="9"/>
      <c r="M23" s="6" t="s">
        <v>18</v>
      </c>
    </row>
    <row r="24" spans="2:18" x14ac:dyDescent="0.3">
      <c r="B24" s="654">
        <v>222</v>
      </c>
      <c r="C24" s="682"/>
      <c r="E24" s="657">
        <v>2591</v>
      </c>
      <c r="F24" s="659">
        <v>222</v>
      </c>
      <c r="G24" s="657" t="s">
        <v>10</v>
      </c>
      <c r="H24" s="10" t="s">
        <v>15</v>
      </c>
      <c r="I24" s="10" t="s">
        <v>36</v>
      </c>
      <c r="J24" s="3"/>
      <c r="K24" s="9"/>
    </row>
    <row r="25" spans="2:18" x14ac:dyDescent="0.3">
      <c r="B25" s="655"/>
      <c r="C25" s="682"/>
      <c r="E25" s="658"/>
      <c r="F25" s="660"/>
      <c r="G25" s="658"/>
      <c r="H25" s="20">
        <v>2591</v>
      </c>
      <c r="I25" s="17">
        <v>2592</v>
      </c>
      <c r="J25" s="3"/>
      <c r="K25" s="9"/>
      <c r="M25" s="6" t="s">
        <v>18</v>
      </c>
    </row>
    <row r="26" spans="2:18" x14ac:dyDescent="0.3">
      <c r="B26" s="655"/>
      <c r="C26" s="682"/>
      <c r="E26" s="643">
        <v>2592</v>
      </c>
      <c r="F26" s="660"/>
      <c r="G26" s="643" t="s">
        <v>5</v>
      </c>
      <c r="H26" s="10" t="s">
        <v>15</v>
      </c>
      <c r="I26" s="10" t="s">
        <v>35</v>
      </c>
      <c r="J26" s="3"/>
      <c r="K26" s="9"/>
      <c r="O26" s="647" t="s">
        <v>31</v>
      </c>
      <c r="P26" s="10" t="s">
        <v>15</v>
      </c>
      <c r="Q26" s="10" t="s">
        <v>42</v>
      </c>
    </row>
    <row r="27" spans="2:18" x14ac:dyDescent="0.3">
      <c r="B27" s="655"/>
      <c r="C27" s="682"/>
      <c r="E27" s="644"/>
      <c r="F27" s="660"/>
      <c r="G27" s="644"/>
      <c r="H27" s="17">
        <v>2592</v>
      </c>
      <c r="I27" s="3" t="s">
        <v>20</v>
      </c>
      <c r="J27" s="3"/>
      <c r="K27" s="9"/>
      <c r="L27" s="27" t="s">
        <v>31</v>
      </c>
      <c r="M27" s="6" t="s">
        <v>18</v>
      </c>
      <c r="O27" s="647"/>
      <c r="P27" s="26">
        <v>2592</v>
      </c>
      <c r="Q27" s="3" t="s">
        <v>41</v>
      </c>
      <c r="R27" s="6" t="s">
        <v>5</v>
      </c>
    </row>
    <row r="28" spans="2:18" x14ac:dyDescent="0.3">
      <c r="B28" s="655"/>
      <c r="C28" s="682"/>
      <c r="E28" s="662">
        <v>2593</v>
      </c>
      <c r="F28" s="660"/>
      <c r="G28" s="662" t="s">
        <v>11</v>
      </c>
      <c r="H28" s="10" t="s">
        <v>15</v>
      </c>
      <c r="I28" s="10" t="s">
        <v>27</v>
      </c>
      <c r="J28" s="3"/>
      <c r="K28" s="9"/>
    </row>
    <row r="29" spans="2:18" x14ac:dyDescent="0.3">
      <c r="B29" s="655"/>
      <c r="C29" s="682"/>
      <c r="E29" s="663"/>
      <c r="F29" s="660"/>
      <c r="G29" s="663"/>
      <c r="H29" s="21">
        <v>2593</v>
      </c>
      <c r="I29" s="3" t="s">
        <v>20</v>
      </c>
      <c r="J29" s="3"/>
      <c r="K29" s="9"/>
      <c r="L29" s="6" t="s">
        <v>37</v>
      </c>
      <c r="M29" s="6" t="s">
        <v>18</v>
      </c>
    </row>
    <row r="30" spans="2:18" x14ac:dyDescent="0.3">
      <c r="B30" s="655"/>
      <c r="C30" s="682"/>
      <c r="E30" s="652">
        <v>2594</v>
      </c>
      <c r="F30" s="660"/>
      <c r="G30" s="652" t="s">
        <v>4</v>
      </c>
      <c r="H30" s="10" t="s">
        <v>15</v>
      </c>
      <c r="I30" s="10" t="s">
        <v>27</v>
      </c>
      <c r="J30" s="3"/>
      <c r="K30" s="9"/>
      <c r="O30" s="674" t="s">
        <v>29</v>
      </c>
      <c r="P30" s="10" t="s">
        <v>15</v>
      </c>
      <c r="Q30" s="10" t="s">
        <v>38</v>
      </c>
    </row>
    <row r="31" spans="2:18" x14ac:dyDescent="0.3">
      <c r="B31" s="655"/>
      <c r="C31" s="682"/>
      <c r="E31" s="653"/>
      <c r="F31" s="660"/>
      <c r="G31" s="653"/>
      <c r="H31" s="28">
        <v>2594</v>
      </c>
      <c r="I31" s="3" t="s">
        <v>20</v>
      </c>
      <c r="J31" s="3"/>
      <c r="K31" s="9"/>
      <c r="L31" s="30" t="s">
        <v>29</v>
      </c>
      <c r="M31" s="6" t="s">
        <v>18</v>
      </c>
      <c r="O31" s="653" t="s">
        <v>29</v>
      </c>
      <c r="P31" s="28">
        <v>2594</v>
      </c>
      <c r="Q31" s="21">
        <v>2593</v>
      </c>
      <c r="R31" s="1" t="s">
        <v>4</v>
      </c>
    </row>
    <row r="32" spans="2:18" x14ac:dyDescent="0.3">
      <c r="B32" s="655"/>
      <c r="C32" s="682"/>
      <c r="E32" s="643">
        <v>2595</v>
      </c>
      <c r="F32" s="660"/>
      <c r="G32" s="643" t="s">
        <v>5</v>
      </c>
      <c r="H32" s="10" t="s">
        <v>15</v>
      </c>
      <c r="I32" s="10" t="s">
        <v>35</v>
      </c>
      <c r="J32" s="3"/>
      <c r="K32" s="9"/>
      <c r="O32" s="647" t="s">
        <v>31</v>
      </c>
      <c r="P32" s="10" t="s">
        <v>15</v>
      </c>
      <c r="Q32" s="10" t="s">
        <v>42</v>
      </c>
    </row>
    <row r="33" spans="2:17" x14ac:dyDescent="0.3">
      <c r="B33" s="655"/>
      <c r="C33" s="682"/>
      <c r="E33" s="644"/>
      <c r="F33" s="660"/>
      <c r="G33" s="644"/>
      <c r="H33" s="17">
        <v>2595</v>
      </c>
      <c r="I33" s="22">
        <v>2594</v>
      </c>
      <c r="J33" s="3"/>
      <c r="K33" s="9"/>
      <c r="L33" s="27" t="s">
        <v>31</v>
      </c>
      <c r="M33" s="6" t="s">
        <v>18</v>
      </c>
      <c r="O33" s="647"/>
      <c r="P33" s="26">
        <v>2595</v>
      </c>
      <c r="Q33" s="3" t="s">
        <v>43</v>
      </c>
    </row>
    <row r="34" spans="2:17" x14ac:dyDescent="0.3">
      <c r="B34" s="655"/>
      <c r="C34" s="682"/>
      <c r="E34" s="668">
        <v>2596</v>
      </c>
      <c r="F34" s="660"/>
      <c r="G34" s="668" t="s">
        <v>12</v>
      </c>
      <c r="H34" s="10" t="s">
        <v>15</v>
      </c>
      <c r="I34" s="10" t="s">
        <v>38</v>
      </c>
      <c r="J34" s="10" t="s">
        <v>34</v>
      </c>
      <c r="K34" s="8"/>
    </row>
    <row r="35" spans="2:17" x14ac:dyDescent="0.3">
      <c r="B35" s="655"/>
      <c r="C35" s="682"/>
      <c r="E35" s="669"/>
      <c r="F35" s="660"/>
      <c r="G35" s="669"/>
      <c r="H35" s="23">
        <v>2596</v>
      </c>
      <c r="I35" s="21">
        <v>2593</v>
      </c>
      <c r="J35" s="28">
        <v>2585</v>
      </c>
      <c r="K35" s="9"/>
      <c r="M35" s="6" t="s">
        <v>18</v>
      </c>
    </row>
    <row r="36" spans="2:17" x14ac:dyDescent="0.3">
      <c r="B36" s="655"/>
      <c r="C36" s="682"/>
      <c r="E36" s="664">
        <v>2597</v>
      </c>
      <c r="F36" s="660"/>
      <c r="G36" s="664" t="s">
        <v>13</v>
      </c>
      <c r="H36" s="10" t="s">
        <v>15</v>
      </c>
      <c r="I36" s="10" t="s">
        <v>38</v>
      </c>
      <c r="J36" s="10" t="s">
        <v>32</v>
      </c>
      <c r="K36" s="8"/>
    </row>
    <row r="37" spans="2:17" x14ac:dyDescent="0.3">
      <c r="B37" s="655"/>
      <c r="C37" s="682"/>
      <c r="E37" s="665"/>
      <c r="F37" s="660"/>
      <c r="G37" s="665"/>
      <c r="H37" s="24">
        <v>2597</v>
      </c>
      <c r="I37" s="21">
        <v>2593</v>
      </c>
      <c r="J37" s="18">
        <v>2584</v>
      </c>
      <c r="K37" s="9"/>
      <c r="M37" s="6" t="s">
        <v>18</v>
      </c>
    </row>
    <row r="38" spans="2:17" x14ac:dyDescent="0.3">
      <c r="B38" s="655"/>
      <c r="C38" s="682"/>
      <c r="E38" s="666">
        <v>2598</v>
      </c>
      <c r="F38" s="660"/>
      <c r="G38" s="666" t="s">
        <v>14</v>
      </c>
      <c r="H38" s="10" t="s">
        <v>15</v>
      </c>
      <c r="I38" s="10" t="s">
        <v>39</v>
      </c>
      <c r="J38" s="10" t="s">
        <v>40</v>
      </c>
      <c r="K38" s="8"/>
    </row>
    <row r="39" spans="2:17" x14ac:dyDescent="0.3">
      <c r="B39" s="656"/>
      <c r="C39" s="683"/>
      <c r="E39" s="667"/>
      <c r="F39" s="661"/>
      <c r="G39" s="667"/>
      <c r="H39" s="25">
        <v>2598</v>
      </c>
      <c r="I39" s="21">
        <v>2593</v>
      </c>
      <c r="J39" s="20">
        <v>2591</v>
      </c>
      <c r="K39" s="9"/>
      <c r="M39" s="6" t="s">
        <v>18</v>
      </c>
    </row>
  </sheetData>
  <mergeCells count="48">
    <mergeCell ref="O12:O13"/>
    <mergeCell ref="O30:O31"/>
    <mergeCell ref="B2:C2"/>
    <mergeCell ref="E2:F2"/>
    <mergeCell ref="B4:B23"/>
    <mergeCell ref="C4:C39"/>
    <mergeCell ref="E4:E5"/>
    <mergeCell ref="F4:F23"/>
    <mergeCell ref="E12:E13"/>
    <mergeCell ref="E20:E21"/>
    <mergeCell ref="E36:E37"/>
    <mergeCell ref="E18:E19"/>
    <mergeCell ref="G18:G19"/>
    <mergeCell ref="G4:G5"/>
    <mergeCell ref="E6:E7"/>
    <mergeCell ref="G6:G7"/>
    <mergeCell ref="E8:E9"/>
    <mergeCell ref="G8:G9"/>
    <mergeCell ref="E10:E11"/>
    <mergeCell ref="G10:G11"/>
    <mergeCell ref="G12:G13"/>
    <mergeCell ref="B24:B39"/>
    <mergeCell ref="E24:E25"/>
    <mergeCell ref="F24:F39"/>
    <mergeCell ref="G24:G25"/>
    <mergeCell ref="E26:E27"/>
    <mergeCell ref="G26:G27"/>
    <mergeCell ref="E28:E29"/>
    <mergeCell ref="G36:G37"/>
    <mergeCell ref="E38:E39"/>
    <mergeCell ref="G38:G39"/>
    <mergeCell ref="G28:G29"/>
    <mergeCell ref="E30:E31"/>
    <mergeCell ref="E34:E35"/>
    <mergeCell ref="G34:G35"/>
    <mergeCell ref="E14:E15"/>
    <mergeCell ref="G14:G15"/>
    <mergeCell ref="E16:E17"/>
    <mergeCell ref="G16:G17"/>
    <mergeCell ref="O32:O33"/>
    <mergeCell ref="G20:G21"/>
    <mergeCell ref="E22:E23"/>
    <mergeCell ref="G22:G23"/>
    <mergeCell ref="O14:O15"/>
    <mergeCell ref="O26:O27"/>
    <mergeCell ref="G30:G31"/>
    <mergeCell ref="E32:E33"/>
    <mergeCell ref="G32:G33"/>
  </mergeCells>
  <pageMargins left="0.7" right="0.7" top="0.78740157499999996" bottom="0.78740157499999996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2"/>
  <dimension ref="B8:M38"/>
  <sheetViews>
    <sheetView topLeftCell="A4" workbookViewId="0">
      <selection activeCell="E33" sqref="E33"/>
    </sheetView>
  </sheetViews>
  <sheetFormatPr baseColWidth="10" defaultRowHeight="10.199999999999999" x14ac:dyDescent="0.2"/>
  <cols>
    <col min="1" max="1" width="11.5546875" style="47"/>
    <col min="2" max="2" width="19" style="47" bestFit="1" customWidth="1"/>
    <col min="3" max="3" width="11.5546875" style="47"/>
    <col min="4" max="4" width="12.33203125" style="47" customWidth="1"/>
    <col min="5" max="5" width="11.21875" style="47" bestFit="1" customWidth="1"/>
    <col min="6" max="7" width="14.5546875" style="47" customWidth="1"/>
    <col min="8" max="8" width="16.33203125" style="47" bestFit="1" customWidth="1"/>
    <col min="9" max="9" width="18.6640625" style="47" bestFit="1" customWidth="1"/>
    <col min="10" max="10" width="19.5546875" style="47" bestFit="1" customWidth="1"/>
    <col min="11" max="11" width="16.88671875" style="47" bestFit="1" customWidth="1"/>
    <col min="12" max="12" width="11.5546875" style="47"/>
    <col min="13" max="13" width="18.88671875" style="47" customWidth="1"/>
    <col min="14" max="16384" width="11.5546875" style="47"/>
  </cols>
  <sheetData>
    <row r="8" spans="2:13" x14ac:dyDescent="0.2">
      <c r="B8" s="54" t="s">
        <v>243</v>
      </c>
      <c r="C8" s="53" t="s">
        <v>44</v>
      </c>
      <c r="D8" s="54" t="s">
        <v>6</v>
      </c>
      <c r="E8" s="63" t="s">
        <v>244</v>
      </c>
      <c r="F8" s="65" t="s">
        <v>245</v>
      </c>
      <c r="G8" s="65" t="s">
        <v>4</v>
      </c>
      <c r="H8" s="65" t="s">
        <v>5</v>
      </c>
      <c r="I8" s="53" t="s">
        <v>8</v>
      </c>
      <c r="J8" s="53" t="s">
        <v>256</v>
      </c>
      <c r="K8" s="65" t="s">
        <v>52</v>
      </c>
      <c r="L8" s="63" t="s">
        <v>248</v>
      </c>
      <c r="M8" s="63" t="s">
        <v>249</v>
      </c>
    </row>
    <row r="9" spans="2:13" x14ac:dyDescent="0.2">
      <c r="B9" s="60" t="s">
        <v>246</v>
      </c>
      <c r="C9" s="55" t="s">
        <v>217</v>
      </c>
      <c r="D9" s="55" t="s">
        <v>215</v>
      </c>
      <c r="E9" s="55" t="s">
        <v>247</v>
      </c>
      <c r="F9" s="59" t="s">
        <v>253</v>
      </c>
      <c r="G9" s="55" t="s">
        <v>209</v>
      </c>
      <c r="H9" s="59" t="s">
        <v>205</v>
      </c>
      <c r="I9" s="55" t="s">
        <v>257</v>
      </c>
      <c r="J9" s="55" t="s">
        <v>258</v>
      </c>
      <c r="K9" s="64" t="s">
        <v>15</v>
      </c>
      <c r="L9" s="55" t="s">
        <v>250</v>
      </c>
      <c r="M9" s="55" t="s">
        <v>251</v>
      </c>
    </row>
    <row r="10" spans="2:13" x14ac:dyDescent="0.2">
      <c r="B10" s="61" t="s">
        <v>252</v>
      </c>
      <c r="C10" s="58" t="s">
        <v>246</v>
      </c>
      <c r="D10" s="56"/>
      <c r="E10" s="56"/>
      <c r="F10" s="48" t="s">
        <v>247</v>
      </c>
      <c r="G10" s="56" t="s">
        <v>254</v>
      </c>
      <c r="H10" s="48" t="s">
        <v>209</v>
      </c>
      <c r="I10" s="56" t="s">
        <v>253</v>
      </c>
      <c r="J10" s="56" t="s">
        <v>209</v>
      </c>
      <c r="K10" s="49" t="s">
        <v>247</v>
      </c>
      <c r="L10" s="56"/>
      <c r="M10" s="56" t="s">
        <v>250</v>
      </c>
    </row>
    <row r="11" spans="2:13" x14ac:dyDescent="0.2">
      <c r="B11" s="61" t="s">
        <v>23</v>
      </c>
      <c r="C11" s="56"/>
      <c r="D11" s="56"/>
      <c r="E11" s="56"/>
      <c r="F11" s="61" t="s">
        <v>246</v>
      </c>
      <c r="G11" s="56" t="s">
        <v>255</v>
      </c>
      <c r="H11" s="48"/>
      <c r="I11" s="56" t="s">
        <v>209</v>
      </c>
      <c r="J11" s="56" t="s">
        <v>215</v>
      </c>
      <c r="K11" s="49" t="s">
        <v>250</v>
      </c>
      <c r="L11" s="56"/>
      <c r="M11" s="56"/>
    </row>
    <row r="12" spans="2:13" x14ac:dyDescent="0.2">
      <c r="B12" s="61"/>
      <c r="C12" s="56"/>
      <c r="D12" s="56"/>
      <c r="E12" s="56"/>
      <c r="G12" s="57"/>
      <c r="H12" s="48"/>
      <c r="I12" s="57"/>
      <c r="J12" s="57"/>
      <c r="L12" s="56"/>
      <c r="M12" s="56"/>
    </row>
    <row r="13" spans="2:13" x14ac:dyDescent="0.2">
      <c r="B13" s="61"/>
      <c r="C13" s="56"/>
      <c r="D13" s="56"/>
      <c r="E13" s="56"/>
      <c r="F13" s="56"/>
      <c r="G13" s="66" t="s">
        <v>209</v>
      </c>
      <c r="H13" s="59" t="s">
        <v>205</v>
      </c>
      <c r="I13" s="55" t="s">
        <v>257</v>
      </c>
      <c r="J13" s="55" t="s">
        <v>258</v>
      </c>
      <c r="K13" s="49"/>
      <c r="L13" s="56"/>
      <c r="M13" s="56"/>
    </row>
    <row r="14" spans="2:13" x14ac:dyDescent="0.2">
      <c r="B14" s="61"/>
      <c r="C14" s="56"/>
      <c r="D14" s="56"/>
      <c r="E14" s="56"/>
      <c r="F14" s="56"/>
      <c r="G14" s="52" t="s">
        <v>254</v>
      </c>
      <c r="H14" s="48" t="s">
        <v>209</v>
      </c>
      <c r="I14" s="56" t="s">
        <v>253</v>
      </c>
      <c r="J14" s="56" t="s">
        <v>209</v>
      </c>
      <c r="K14" s="51"/>
      <c r="L14" s="57"/>
      <c r="M14" s="57"/>
    </row>
    <row r="15" spans="2:13" x14ac:dyDescent="0.2">
      <c r="B15" s="61"/>
      <c r="C15" s="56"/>
      <c r="D15" s="56"/>
      <c r="E15" s="56"/>
      <c r="F15" s="56"/>
      <c r="G15" s="52" t="s">
        <v>255</v>
      </c>
      <c r="H15" s="48"/>
      <c r="I15" s="56" t="s">
        <v>209</v>
      </c>
      <c r="J15" s="56" t="s">
        <v>215</v>
      </c>
      <c r="K15" s="64" t="s">
        <v>15</v>
      </c>
      <c r="L15" s="55" t="s">
        <v>250</v>
      </c>
      <c r="M15" s="55" t="s">
        <v>251</v>
      </c>
    </row>
    <row r="16" spans="2:13" x14ac:dyDescent="0.2">
      <c r="B16" s="61"/>
      <c r="C16" s="56"/>
      <c r="D16" s="56"/>
      <c r="E16" s="56"/>
      <c r="F16" s="56"/>
      <c r="H16" s="48"/>
      <c r="I16" s="57"/>
      <c r="J16" s="57"/>
      <c r="K16" s="49" t="s">
        <v>247</v>
      </c>
      <c r="L16" s="56"/>
      <c r="M16" s="56" t="s">
        <v>250</v>
      </c>
    </row>
    <row r="17" spans="2:13" x14ac:dyDescent="0.2">
      <c r="B17" s="61"/>
      <c r="C17" s="56"/>
      <c r="D17" s="56"/>
      <c r="E17" s="56"/>
      <c r="F17" s="48"/>
      <c r="G17" s="55" t="s">
        <v>209</v>
      </c>
      <c r="H17" s="66" t="s">
        <v>205</v>
      </c>
      <c r="I17" s="55" t="s">
        <v>257</v>
      </c>
      <c r="J17" s="55" t="s">
        <v>258</v>
      </c>
      <c r="K17" s="49" t="s">
        <v>250</v>
      </c>
      <c r="L17" s="56"/>
      <c r="M17" s="56"/>
    </row>
    <row r="18" spans="2:13" x14ac:dyDescent="0.2">
      <c r="B18" s="61"/>
      <c r="C18" s="56"/>
      <c r="D18" s="56"/>
      <c r="E18" s="56"/>
      <c r="F18" s="48"/>
      <c r="G18" s="56" t="s">
        <v>254</v>
      </c>
      <c r="H18" s="52" t="s">
        <v>209</v>
      </c>
      <c r="I18" s="56" t="s">
        <v>253</v>
      </c>
      <c r="J18" s="56" t="s">
        <v>209</v>
      </c>
      <c r="K18" s="49"/>
      <c r="L18" s="56"/>
      <c r="M18" s="56"/>
    </row>
    <row r="19" spans="2:13" x14ac:dyDescent="0.2">
      <c r="B19" s="61"/>
      <c r="C19" s="56"/>
      <c r="D19" s="56"/>
      <c r="E19" s="56"/>
      <c r="F19" s="48"/>
      <c r="G19" s="56" t="s">
        <v>255</v>
      </c>
      <c r="H19" s="52"/>
      <c r="I19" s="56" t="s">
        <v>209</v>
      </c>
      <c r="J19" s="56" t="s">
        <v>215</v>
      </c>
      <c r="K19" s="49"/>
      <c r="L19" s="56"/>
      <c r="M19" s="56"/>
    </row>
    <row r="20" spans="2:13" x14ac:dyDescent="0.2">
      <c r="B20" s="62"/>
      <c r="C20" s="57"/>
      <c r="D20" s="57"/>
      <c r="E20" s="57"/>
      <c r="F20" s="50"/>
      <c r="G20" s="57"/>
      <c r="H20" s="67"/>
      <c r="I20" s="57"/>
      <c r="J20" s="57"/>
      <c r="K20" s="51"/>
      <c r="L20" s="57"/>
      <c r="M20" s="57"/>
    </row>
    <row r="24" spans="2:13" x14ac:dyDescent="0.2">
      <c r="B24" s="68" t="s">
        <v>243</v>
      </c>
    </row>
    <row r="25" spans="2:13" x14ac:dyDescent="0.2">
      <c r="B25" s="60" t="s">
        <v>246</v>
      </c>
      <c r="C25" s="58" t="s">
        <v>246</v>
      </c>
    </row>
    <row r="26" spans="2:13" x14ac:dyDescent="0.2">
      <c r="B26" s="61" t="s">
        <v>252</v>
      </c>
      <c r="C26" s="69" t="s">
        <v>44</v>
      </c>
    </row>
    <row r="27" spans="2:13" x14ac:dyDescent="0.2">
      <c r="B27" s="61" t="s">
        <v>23</v>
      </c>
      <c r="C27" s="52" t="s">
        <v>217</v>
      </c>
    </row>
    <row r="28" spans="2:13" x14ac:dyDescent="0.2">
      <c r="B28" s="61"/>
      <c r="C28" s="52"/>
    </row>
    <row r="29" spans="2:13" x14ac:dyDescent="0.2">
      <c r="B29" s="61"/>
      <c r="C29" s="52"/>
      <c r="D29" s="52"/>
    </row>
    <row r="30" spans="2:13" x14ac:dyDescent="0.2">
      <c r="B30" s="61"/>
      <c r="C30" s="52"/>
      <c r="D30" s="52"/>
    </row>
    <row r="31" spans="2:13" x14ac:dyDescent="0.2">
      <c r="B31" s="61"/>
      <c r="C31" s="52"/>
    </row>
    <row r="32" spans="2:13" x14ac:dyDescent="0.2">
      <c r="B32" s="61"/>
      <c r="C32" s="52"/>
    </row>
    <row r="33" spans="2:4" x14ac:dyDescent="0.2">
      <c r="B33" s="61"/>
      <c r="C33" s="52"/>
    </row>
    <row r="34" spans="2:4" x14ac:dyDescent="0.2">
      <c r="B34" s="61"/>
      <c r="C34" s="52"/>
    </row>
    <row r="35" spans="2:4" x14ac:dyDescent="0.2">
      <c r="B35" s="61"/>
      <c r="C35" s="52"/>
    </row>
    <row r="36" spans="2:4" x14ac:dyDescent="0.2">
      <c r="B36" s="62"/>
      <c r="C36" s="52"/>
    </row>
    <row r="38" spans="2:4" x14ac:dyDescent="0.2">
      <c r="D38" s="52"/>
    </row>
  </sheetData>
  <pageMargins left="0.7" right="0.7" top="0.78740157499999996" bottom="0.78740157499999996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DE0B-C9C7-466F-81C5-103F1A5C140D}">
  <sheetPr codeName="Tabelle34">
    <tabColor theme="8" tint="-0.249977111117893"/>
  </sheetPr>
  <dimension ref="A1:BA561"/>
  <sheetViews>
    <sheetView topLeftCell="A7" workbookViewId="0">
      <selection activeCell="A55" sqref="A55:XFD55"/>
    </sheetView>
  </sheetViews>
  <sheetFormatPr baseColWidth="10" defaultRowHeight="14.4" x14ac:dyDescent="0.3"/>
  <cols>
    <col min="1" max="1" width="18.77734375" style="1" customWidth="1"/>
    <col min="2" max="2" width="8" style="1" customWidth="1"/>
    <col min="3" max="3" width="10.44140625" style="1" customWidth="1"/>
    <col min="4" max="16384" width="11.5546875" style="1"/>
  </cols>
  <sheetData>
    <row r="1" spans="1:53" s="47" customFormat="1" ht="30.6" x14ac:dyDescent="0.2">
      <c r="A1" s="378" t="s">
        <v>439</v>
      </c>
      <c r="B1" s="378" t="s">
        <v>599</v>
      </c>
      <c r="C1" s="378" t="s">
        <v>15</v>
      </c>
      <c r="D1" s="378" t="s">
        <v>61</v>
      </c>
      <c r="E1" s="378" t="s">
        <v>440</v>
      </c>
      <c r="F1" s="378" t="s">
        <v>441</v>
      </c>
      <c r="G1" s="378" t="s">
        <v>442</v>
      </c>
      <c r="H1" s="378" t="s">
        <v>443</v>
      </c>
      <c r="I1" s="378" t="s">
        <v>444</v>
      </c>
      <c r="J1" s="378"/>
      <c r="K1" s="378"/>
      <c r="L1" s="378"/>
      <c r="M1" s="378"/>
      <c r="N1" s="378"/>
      <c r="O1" s="378"/>
      <c r="P1" s="378"/>
      <c r="Q1" s="378"/>
      <c r="R1" s="75"/>
      <c r="S1" s="75"/>
    </row>
    <row r="2" spans="1:53" s="47" customFormat="1" ht="20.399999999999999" x14ac:dyDescent="0.2">
      <c r="A2" s="72" t="s">
        <v>605</v>
      </c>
      <c r="B2" s="45" t="s">
        <v>599</v>
      </c>
      <c r="C2" s="73" t="s">
        <v>15</v>
      </c>
      <c r="D2" s="73" t="s">
        <v>422</v>
      </c>
      <c r="E2" s="73" t="s">
        <v>61</v>
      </c>
      <c r="F2" s="73" t="s">
        <v>62</v>
      </c>
      <c r="G2" s="73" t="s">
        <v>68</v>
      </c>
      <c r="H2" s="73" t="s">
        <v>760</v>
      </c>
      <c r="I2" s="73" t="s">
        <v>65</v>
      </c>
      <c r="J2" s="73" t="s">
        <v>66</v>
      </c>
      <c r="K2" s="73" t="s">
        <v>67</v>
      </c>
      <c r="L2" s="73" t="s">
        <v>602</v>
      </c>
      <c r="M2" s="73" t="s">
        <v>38</v>
      </c>
      <c r="N2" s="73"/>
      <c r="O2" s="73"/>
      <c r="P2" s="73"/>
      <c r="Q2" s="71"/>
    </row>
    <row r="3" spans="1:53" s="47" customFormat="1" ht="20.399999999999999" x14ac:dyDescent="0.2">
      <c r="A3" s="378" t="s">
        <v>11</v>
      </c>
      <c r="B3" s="378" t="s">
        <v>599</v>
      </c>
      <c r="C3" s="378" t="s">
        <v>15</v>
      </c>
      <c r="D3" s="378" t="s">
        <v>27</v>
      </c>
      <c r="E3" s="378" t="s">
        <v>91</v>
      </c>
      <c r="F3" s="378" t="s">
        <v>92</v>
      </c>
      <c r="G3" s="378" t="s">
        <v>93</v>
      </c>
      <c r="H3" s="378" t="s">
        <v>94</v>
      </c>
      <c r="I3" s="378" t="s">
        <v>95</v>
      </c>
      <c r="J3" s="378" t="s">
        <v>96</v>
      </c>
      <c r="K3" s="378" t="s">
        <v>97</v>
      </c>
      <c r="L3" s="378" t="s">
        <v>98</v>
      </c>
      <c r="M3" s="378" t="s">
        <v>73</v>
      </c>
      <c r="N3" s="378" t="s">
        <v>105</v>
      </c>
      <c r="O3" s="378" t="s">
        <v>100</v>
      </c>
      <c r="P3" s="378" t="s">
        <v>124</v>
      </c>
      <c r="Q3" s="378" t="s">
        <v>61</v>
      </c>
      <c r="R3" s="75" t="s">
        <v>62</v>
      </c>
      <c r="S3" s="75" t="s">
        <v>760</v>
      </c>
      <c r="T3" s="47" t="s">
        <v>65</v>
      </c>
      <c r="U3" s="47" t="s">
        <v>66</v>
      </c>
      <c r="V3" s="47" t="s">
        <v>67</v>
      </c>
      <c r="W3" s="47" t="s">
        <v>68</v>
      </c>
      <c r="X3" s="47" t="s">
        <v>772</v>
      </c>
      <c r="Y3" s="47" t="s">
        <v>69</v>
      </c>
      <c r="Z3" s="47" t="s">
        <v>916</v>
      </c>
      <c r="AA3" s="47" t="s">
        <v>163</v>
      </c>
      <c r="AB3" s="47" t="s">
        <v>149</v>
      </c>
      <c r="AC3" s="47" t="s">
        <v>158</v>
      </c>
      <c r="AD3" s="47" t="s">
        <v>538</v>
      </c>
      <c r="AE3" s="47" t="s">
        <v>917</v>
      </c>
      <c r="AF3" s="47" t="s">
        <v>272</v>
      </c>
      <c r="AG3" s="47" t="s">
        <v>282</v>
      </c>
      <c r="AH3" s="47" t="s">
        <v>273</v>
      </c>
      <c r="AI3" s="47" t="s">
        <v>292</v>
      </c>
      <c r="AJ3" s="47" t="s">
        <v>271</v>
      </c>
      <c r="AK3" s="47" t="s">
        <v>548</v>
      </c>
      <c r="AL3" s="47" t="s">
        <v>270</v>
      </c>
      <c r="AM3" s="47" t="s">
        <v>102</v>
      </c>
      <c r="AN3" s="47" t="s">
        <v>107</v>
      </c>
      <c r="AO3" s="47" t="s">
        <v>108</v>
      </c>
      <c r="AP3" s="47" t="s">
        <v>109</v>
      </c>
      <c r="AQ3" s="47" t="s">
        <v>111</v>
      </c>
      <c r="AR3" s="47" t="s">
        <v>110</v>
      </c>
      <c r="AS3" s="47" t="s">
        <v>104</v>
      </c>
      <c r="AT3" s="47" t="s">
        <v>112</v>
      </c>
      <c r="AU3" s="47" t="s">
        <v>106</v>
      </c>
      <c r="AV3" s="47" t="s">
        <v>411</v>
      </c>
      <c r="AW3" s="47" t="s">
        <v>103</v>
      </c>
      <c r="AX3" s="47" t="s">
        <v>99</v>
      </c>
      <c r="AY3" s="47" t="s">
        <v>415</v>
      </c>
      <c r="AZ3" s="47" t="s">
        <v>602</v>
      </c>
      <c r="BA3" s="47" t="s">
        <v>918</v>
      </c>
    </row>
    <row r="4" spans="1:53" s="47" customFormat="1" ht="20.399999999999999" x14ac:dyDescent="0.2">
      <c r="A4" s="378" t="s">
        <v>882</v>
      </c>
      <c r="B4" s="378" t="s">
        <v>599</v>
      </c>
      <c r="C4" s="378" t="s">
        <v>15</v>
      </c>
      <c r="D4" s="378" t="s">
        <v>280</v>
      </c>
      <c r="E4" s="378" t="s">
        <v>61</v>
      </c>
      <c r="F4" s="378" t="s">
        <v>62</v>
      </c>
      <c r="G4" s="378" t="s">
        <v>760</v>
      </c>
      <c r="H4" s="378" t="s">
        <v>65</v>
      </c>
      <c r="I4" s="378" t="s">
        <v>66</v>
      </c>
      <c r="J4" s="378" t="s">
        <v>67</v>
      </c>
      <c r="K4" s="378" t="s">
        <v>68</v>
      </c>
      <c r="L4" s="378" t="s">
        <v>923</v>
      </c>
      <c r="M4" s="378" t="s">
        <v>34</v>
      </c>
      <c r="N4" s="378" t="s">
        <v>602</v>
      </c>
      <c r="O4" s="378"/>
      <c r="P4" s="378"/>
      <c r="Q4" s="378"/>
      <c r="R4" s="75"/>
      <c r="S4" s="75"/>
    </row>
    <row r="5" spans="1:53" s="47" customFormat="1" ht="20.399999999999999" x14ac:dyDescent="0.2">
      <c r="A5" s="72" t="s">
        <v>59</v>
      </c>
      <c r="B5" s="45" t="s">
        <v>599</v>
      </c>
      <c r="C5" s="73" t="s">
        <v>15</v>
      </c>
      <c r="D5" s="73" t="s">
        <v>115</v>
      </c>
      <c r="E5" s="73" t="s">
        <v>170</v>
      </c>
      <c r="F5" s="73" t="s">
        <v>171</v>
      </c>
      <c r="G5" s="73" t="s">
        <v>61</v>
      </c>
      <c r="H5" s="73" t="s">
        <v>62</v>
      </c>
      <c r="I5" s="73" t="s">
        <v>760</v>
      </c>
      <c r="J5" s="73" t="s">
        <v>65</v>
      </c>
      <c r="K5" s="73" t="s">
        <v>66</v>
      </c>
      <c r="L5" s="73" t="s">
        <v>67</v>
      </c>
      <c r="M5" s="73" t="s">
        <v>68</v>
      </c>
      <c r="N5" s="73" t="s">
        <v>602</v>
      </c>
      <c r="O5" s="73"/>
      <c r="P5" s="73"/>
      <c r="Q5" s="71"/>
    </row>
    <row r="6" spans="1:53" s="47" customFormat="1" ht="20.399999999999999" x14ac:dyDescent="0.2">
      <c r="A6" s="379" t="s">
        <v>12</v>
      </c>
      <c r="B6" s="383" t="s">
        <v>599</v>
      </c>
      <c r="C6" s="378" t="s">
        <v>15</v>
      </c>
      <c r="D6" s="378" t="s">
        <v>38</v>
      </c>
      <c r="E6" s="378" t="s">
        <v>34</v>
      </c>
      <c r="F6" s="378" t="s">
        <v>61</v>
      </c>
      <c r="G6" s="378" t="s">
        <v>62</v>
      </c>
      <c r="H6" s="378" t="s">
        <v>760</v>
      </c>
      <c r="I6" s="378" t="s">
        <v>65</v>
      </c>
      <c r="J6" s="378" t="s">
        <v>66</v>
      </c>
      <c r="K6" s="378" t="s">
        <v>67</v>
      </c>
      <c r="L6" s="378" t="s">
        <v>68</v>
      </c>
      <c r="M6" s="378" t="s">
        <v>602</v>
      </c>
      <c r="N6" s="378"/>
      <c r="O6" s="378"/>
      <c r="P6" s="378"/>
      <c r="Q6" s="380"/>
      <c r="R6" s="75"/>
      <c r="S6" s="75"/>
    </row>
    <row r="7" spans="1:53" s="47" customFormat="1" ht="20.399999999999999" x14ac:dyDescent="0.2">
      <c r="A7" s="378" t="s">
        <v>278</v>
      </c>
      <c r="B7" s="378" t="s">
        <v>599</v>
      </c>
      <c r="C7" s="378" t="s">
        <v>15</v>
      </c>
      <c r="D7" s="378" t="s">
        <v>17</v>
      </c>
      <c r="E7" s="378" t="s">
        <v>19</v>
      </c>
      <c r="F7" s="378" t="s">
        <v>602</v>
      </c>
      <c r="G7" s="378" t="s">
        <v>61</v>
      </c>
      <c r="H7" s="378" t="s">
        <v>62</v>
      </c>
      <c r="I7" s="378" t="s">
        <v>760</v>
      </c>
      <c r="J7" s="378" t="s">
        <v>65</v>
      </c>
      <c r="K7" s="378" t="s">
        <v>66</v>
      </c>
      <c r="L7" s="378" t="s">
        <v>67</v>
      </c>
      <c r="M7" s="378" t="s">
        <v>68</v>
      </c>
      <c r="N7" s="378"/>
      <c r="O7" s="378"/>
      <c r="P7" s="378"/>
      <c r="Q7" s="378"/>
      <c r="R7" s="75"/>
      <c r="S7" s="75"/>
    </row>
    <row r="8" spans="1:53" s="47" customFormat="1" ht="20.399999999999999" x14ac:dyDescent="0.2">
      <c r="A8" s="72" t="s">
        <v>751</v>
      </c>
      <c r="B8" s="45" t="s">
        <v>599</v>
      </c>
      <c r="C8" s="73" t="s">
        <v>15</v>
      </c>
      <c r="D8" s="73" t="s">
        <v>118</v>
      </c>
      <c r="E8" s="73" t="s">
        <v>799</v>
      </c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1"/>
    </row>
    <row r="9" spans="1:53" s="47" customFormat="1" ht="20.399999999999999" x14ac:dyDescent="0.2">
      <c r="A9" s="378" t="s">
        <v>13</v>
      </c>
      <c r="B9" s="378" t="s">
        <v>599</v>
      </c>
      <c r="C9" s="378" t="s">
        <v>15</v>
      </c>
      <c r="D9" s="378" t="s">
        <v>38</v>
      </c>
      <c r="E9" s="378" t="s">
        <v>61</v>
      </c>
      <c r="F9" s="378" t="s">
        <v>62</v>
      </c>
      <c r="G9" s="378" t="s">
        <v>760</v>
      </c>
      <c r="H9" s="378" t="s">
        <v>65</v>
      </c>
      <c r="I9" s="378" t="s">
        <v>66</v>
      </c>
      <c r="J9" s="378" t="s">
        <v>67</v>
      </c>
      <c r="K9" s="378" t="s">
        <v>68</v>
      </c>
      <c r="L9" s="378" t="s">
        <v>32</v>
      </c>
      <c r="M9" s="378" t="s">
        <v>602</v>
      </c>
      <c r="N9" s="378"/>
      <c r="O9" s="378"/>
      <c r="P9" s="378"/>
      <c r="Q9" s="378"/>
      <c r="R9" s="75"/>
      <c r="S9" s="75"/>
    </row>
    <row r="10" spans="1:53" s="47" customFormat="1" ht="20.399999999999999" x14ac:dyDescent="0.2">
      <c r="A10" s="378" t="s">
        <v>8</v>
      </c>
      <c r="B10" s="378" t="s">
        <v>599</v>
      </c>
      <c r="C10" s="378" t="s">
        <v>15</v>
      </c>
      <c r="D10" s="378" t="s">
        <v>61</v>
      </c>
      <c r="E10" s="378" t="s">
        <v>62</v>
      </c>
      <c r="F10" s="378" t="s">
        <v>760</v>
      </c>
      <c r="G10" s="378" t="s">
        <v>65</v>
      </c>
      <c r="H10" s="378" t="s">
        <v>66</v>
      </c>
      <c r="I10" s="378" t="s">
        <v>67</v>
      </c>
      <c r="J10" s="378" t="s">
        <v>68</v>
      </c>
      <c r="K10" s="378" t="s">
        <v>602</v>
      </c>
      <c r="L10" s="378" t="s">
        <v>32</v>
      </c>
      <c r="M10" s="378" t="s">
        <v>34</v>
      </c>
      <c r="N10" s="378"/>
      <c r="O10" s="378"/>
      <c r="P10" s="378"/>
      <c r="Q10" s="378"/>
      <c r="R10" s="75"/>
      <c r="S10" s="75"/>
    </row>
    <row r="11" spans="1:53" s="47" customFormat="1" ht="20.399999999999999" x14ac:dyDescent="0.2">
      <c r="A11" s="378" t="s">
        <v>7</v>
      </c>
      <c r="B11" s="378" t="s">
        <v>599</v>
      </c>
      <c r="C11" s="378" t="s">
        <v>15</v>
      </c>
      <c r="D11" s="378" t="s">
        <v>61</v>
      </c>
      <c r="E11" s="378" t="s">
        <v>62</v>
      </c>
      <c r="F11" s="378" t="s">
        <v>760</v>
      </c>
      <c r="G11" s="378" t="s">
        <v>65</v>
      </c>
      <c r="H11" s="378" t="s">
        <v>66</v>
      </c>
      <c r="I11" s="378" t="s">
        <v>67</v>
      </c>
      <c r="J11" s="378" t="s">
        <v>68</v>
      </c>
      <c r="K11" s="378" t="s">
        <v>602</v>
      </c>
      <c r="L11" s="378" t="s">
        <v>32</v>
      </c>
      <c r="M11" s="378" t="s">
        <v>33</v>
      </c>
      <c r="N11" s="378"/>
      <c r="O11" s="378"/>
      <c r="P11" s="378"/>
      <c r="Q11" s="378"/>
      <c r="R11" s="75"/>
      <c r="S11" s="75"/>
    </row>
    <row r="12" spans="1:53" s="47" customFormat="1" ht="20.399999999999999" x14ac:dyDescent="0.2">
      <c r="A12" s="378" t="s">
        <v>871</v>
      </c>
      <c r="B12" s="378" t="s">
        <v>599</v>
      </c>
      <c r="C12" s="378" t="s">
        <v>15</v>
      </c>
      <c r="D12" s="378" t="s">
        <v>61</v>
      </c>
      <c r="E12" s="378" t="s">
        <v>62</v>
      </c>
      <c r="F12" s="378" t="s">
        <v>68</v>
      </c>
      <c r="G12" s="378" t="s">
        <v>760</v>
      </c>
      <c r="H12" s="378" t="s">
        <v>65</v>
      </c>
      <c r="I12" s="378" t="s">
        <v>66</v>
      </c>
      <c r="J12" s="378" t="s">
        <v>67</v>
      </c>
      <c r="K12" s="378" t="s">
        <v>602</v>
      </c>
      <c r="L12" s="378" t="s">
        <v>32</v>
      </c>
      <c r="M12" s="378" t="s">
        <v>918</v>
      </c>
      <c r="N12" s="378"/>
      <c r="O12" s="378"/>
      <c r="P12" s="378"/>
      <c r="Q12" s="378"/>
      <c r="R12" s="75"/>
      <c r="S12" s="75"/>
    </row>
    <row r="13" spans="1:53" s="47" customFormat="1" ht="20.399999999999999" x14ac:dyDescent="0.2">
      <c r="A13" s="378" t="s">
        <v>425</v>
      </c>
      <c r="B13" s="378" t="s">
        <v>599</v>
      </c>
      <c r="C13" s="378" t="s">
        <v>15</v>
      </c>
      <c r="D13" s="378" t="s">
        <v>32</v>
      </c>
      <c r="E13" s="378" t="s">
        <v>417</v>
      </c>
      <c r="F13" s="378" t="s">
        <v>61</v>
      </c>
      <c r="G13" s="378" t="s">
        <v>62</v>
      </c>
      <c r="H13" s="378" t="s">
        <v>760</v>
      </c>
      <c r="I13" s="378" t="s">
        <v>65</v>
      </c>
      <c r="J13" s="378" t="s">
        <v>66</v>
      </c>
      <c r="K13" s="378" t="s">
        <v>67</v>
      </c>
      <c r="L13" s="378" t="s">
        <v>68</v>
      </c>
      <c r="M13" s="378" t="s">
        <v>602</v>
      </c>
      <c r="N13" s="378"/>
      <c r="O13" s="378"/>
      <c r="P13" s="378"/>
      <c r="Q13" s="378"/>
      <c r="R13" s="75"/>
      <c r="S13" s="75"/>
    </row>
    <row r="14" spans="1:53" s="47" customFormat="1" ht="20.399999999999999" x14ac:dyDescent="0.2">
      <c r="A14" s="379" t="s">
        <v>52</v>
      </c>
      <c r="B14" s="378" t="s">
        <v>599</v>
      </c>
      <c r="C14" s="378" t="s">
        <v>15</v>
      </c>
      <c r="D14" s="378" t="s">
        <v>115</v>
      </c>
      <c r="E14" s="378" t="s">
        <v>16</v>
      </c>
      <c r="F14" s="378" t="s">
        <v>22</v>
      </c>
      <c r="G14" s="378" t="s">
        <v>61</v>
      </c>
      <c r="H14" s="378" t="s">
        <v>62</v>
      </c>
      <c r="I14" s="378" t="s">
        <v>760</v>
      </c>
      <c r="J14" s="378" t="s">
        <v>65</v>
      </c>
      <c r="K14" s="378" t="s">
        <v>66</v>
      </c>
      <c r="L14" s="378" t="s">
        <v>67</v>
      </c>
      <c r="M14" s="378" t="s">
        <v>68</v>
      </c>
      <c r="N14" s="378" t="s">
        <v>602</v>
      </c>
      <c r="O14" s="378"/>
      <c r="P14" s="378"/>
      <c r="Q14" s="380"/>
      <c r="R14" s="75"/>
      <c r="S14" s="75"/>
    </row>
    <row r="15" spans="1:53" s="47" customFormat="1" ht="20.399999999999999" x14ac:dyDescent="0.2">
      <c r="A15" s="378" t="s">
        <v>561</v>
      </c>
      <c r="B15" s="378" t="s">
        <v>599</v>
      </c>
      <c r="C15" s="378" t="s">
        <v>15</v>
      </c>
      <c r="D15" s="378" t="s">
        <v>17</v>
      </c>
      <c r="E15" s="378" t="s">
        <v>99</v>
      </c>
      <c r="F15" s="378" t="s">
        <v>61</v>
      </c>
      <c r="G15" s="378" t="s">
        <v>62</v>
      </c>
      <c r="H15" s="378" t="s">
        <v>760</v>
      </c>
      <c r="I15" s="378" t="s">
        <v>65</v>
      </c>
      <c r="J15" s="378" t="s">
        <v>66</v>
      </c>
      <c r="K15" s="378" t="s">
        <v>67</v>
      </c>
      <c r="L15" s="378" t="s">
        <v>68</v>
      </c>
      <c r="M15" s="378" t="s">
        <v>602</v>
      </c>
      <c r="N15" s="378"/>
      <c r="O15" s="378"/>
      <c r="P15" s="378"/>
      <c r="Q15" s="378"/>
      <c r="R15" s="75"/>
      <c r="S15" s="75"/>
    </row>
    <row r="16" spans="1:53" s="47" customFormat="1" ht="20.399999999999999" x14ac:dyDescent="0.2">
      <c r="A16" s="378" t="s">
        <v>56</v>
      </c>
      <c r="B16" s="378" t="s">
        <v>599</v>
      </c>
      <c r="C16" s="378" t="s">
        <v>15</v>
      </c>
      <c r="D16" s="378" t="s">
        <v>115</v>
      </c>
      <c r="E16" s="378" t="s">
        <v>169</v>
      </c>
      <c r="F16" s="378" t="s">
        <v>34</v>
      </c>
      <c r="G16" s="378" t="s">
        <v>61</v>
      </c>
      <c r="H16" s="378" t="s">
        <v>62</v>
      </c>
      <c r="I16" s="378" t="s">
        <v>760</v>
      </c>
      <c r="J16" s="378" t="s">
        <v>65</v>
      </c>
      <c r="K16" s="378" t="s">
        <v>66</v>
      </c>
      <c r="L16" s="378" t="s">
        <v>67</v>
      </c>
      <c r="M16" s="378" t="s">
        <v>68</v>
      </c>
      <c r="N16" s="378" t="s">
        <v>602</v>
      </c>
      <c r="O16" s="378"/>
      <c r="P16" s="378"/>
      <c r="Q16" s="378"/>
      <c r="R16" s="75"/>
      <c r="S16" s="75"/>
    </row>
    <row r="17" spans="1:50" s="47" customFormat="1" ht="20.399999999999999" x14ac:dyDescent="0.2">
      <c r="A17" s="378" t="s">
        <v>55</v>
      </c>
      <c r="B17" s="378" t="s">
        <v>599</v>
      </c>
      <c r="C17" s="378" t="s">
        <v>15</v>
      </c>
      <c r="D17" s="378" t="s">
        <v>115</v>
      </c>
      <c r="E17" s="378" t="s">
        <v>169</v>
      </c>
      <c r="F17" s="378" t="s">
        <v>32</v>
      </c>
      <c r="G17" s="378" t="s">
        <v>61</v>
      </c>
      <c r="H17" s="378" t="s">
        <v>62</v>
      </c>
      <c r="I17" s="378" t="s">
        <v>760</v>
      </c>
      <c r="J17" s="378" t="s">
        <v>65</v>
      </c>
      <c r="K17" s="378" t="s">
        <v>66</v>
      </c>
      <c r="L17" s="378" t="s">
        <v>67</v>
      </c>
      <c r="M17" s="378" t="s">
        <v>68</v>
      </c>
      <c r="N17" s="378" t="s">
        <v>602</v>
      </c>
      <c r="O17" s="378"/>
      <c r="P17" s="378"/>
      <c r="Q17" s="378"/>
      <c r="R17" s="75"/>
      <c r="S17" s="75"/>
    </row>
    <row r="18" spans="1:50" s="47" customFormat="1" ht="20.399999999999999" x14ac:dyDescent="0.2">
      <c r="A18" s="378" t="s">
        <v>58</v>
      </c>
      <c r="B18" s="378" t="s">
        <v>599</v>
      </c>
      <c r="C18" s="378" t="s">
        <v>15</v>
      </c>
      <c r="D18" s="378" t="s">
        <v>115</v>
      </c>
      <c r="E18" s="378" t="s">
        <v>168</v>
      </c>
      <c r="F18" s="378" t="s">
        <v>32</v>
      </c>
      <c r="G18" s="378" t="s">
        <v>61</v>
      </c>
      <c r="H18" s="378" t="s">
        <v>62</v>
      </c>
      <c r="I18" s="378" t="s">
        <v>760</v>
      </c>
      <c r="J18" s="378" t="s">
        <v>65</v>
      </c>
      <c r="K18" s="378" t="s">
        <v>66</v>
      </c>
      <c r="L18" s="378" t="s">
        <v>67</v>
      </c>
      <c r="M18" s="378" t="s">
        <v>68</v>
      </c>
      <c r="N18" s="378" t="s">
        <v>602</v>
      </c>
      <c r="O18" s="378"/>
      <c r="P18" s="378"/>
      <c r="Q18" s="378"/>
      <c r="R18" s="75"/>
      <c r="S18" s="75"/>
    </row>
    <row r="19" spans="1:50" s="47" customFormat="1" ht="20.399999999999999" x14ac:dyDescent="0.2">
      <c r="A19" s="378" t="s">
        <v>57</v>
      </c>
      <c r="B19" s="378" t="s">
        <v>599</v>
      </c>
      <c r="C19" s="378" t="s">
        <v>15</v>
      </c>
      <c r="D19" s="378" t="s">
        <v>115</v>
      </c>
      <c r="E19" s="378" t="s">
        <v>168</v>
      </c>
      <c r="F19" s="378" t="s">
        <v>34</v>
      </c>
      <c r="G19" s="378" t="s">
        <v>61</v>
      </c>
      <c r="H19" s="378" t="s">
        <v>62</v>
      </c>
      <c r="I19" s="378" t="s">
        <v>760</v>
      </c>
      <c r="J19" s="378" t="s">
        <v>65</v>
      </c>
      <c r="K19" s="378" t="s">
        <v>66</v>
      </c>
      <c r="L19" s="378" t="s">
        <v>67</v>
      </c>
      <c r="M19" s="378" t="s">
        <v>68</v>
      </c>
      <c r="N19" s="378" t="s">
        <v>602</v>
      </c>
      <c r="O19" s="378"/>
      <c r="P19" s="378"/>
      <c r="Q19" s="378"/>
      <c r="R19" s="75"/>
      <c r="S19" s="75"/>
    </row>
    <row r="20" spans="1:50" s="47" customFormat="1" ht="20.399999999999999" x14ac:dyDescent="0.2">
      <c r="A20" s="378" t="s">
        <v>424</v>
      </c>
      <c r="B20" s="378" t="s">
        <v>599</v>
      </c>
      <c r="C20" s="378" t="s">
        <v>15</v>
      </c>
      <c r="D20" s="378" t="s">
        <v>34</v>
      </c>
      <c r="E20" s="378" t="s">
        <v>417</v>
      </c>
      <c r="F20" s="378" t="s">
        <v>61</v>
      </c>
      <c r="G20" s="378" t="s">
        <v>62</v>
      </c>
      <c r="H20" s="378" t="s">
        <v>760</v>
      </c>
      <c r="I20" s="378" t="s">
        <v>65</v>
      </c>
      <c r="J20" s="378" t="s">
        <v>66</v>
      </c>
      <c r="K20" s="378" t="s">
        <v>67</v>
      </c>
      <c r="L20" s="378" t="s">
        <v>68</v>
      </c>
      <c r="M20" s="378" t="s">
        <v>602</v>
      </c>
      <c r="N20" s="378"/>
      <c r="O20" s="378"/>
      <c r="P20" s="378"/>
      <c r="Q20" s="378"/>
      <c r="R20" s="75"/>
      <c r="S20" s="75"/>
    </row>
    <row r="21" spans="1:50" s="47" customFormat="1" ht="20.399999999999999" x14ac:dyDescent="0.2">
      <c r="A21" s="378" t="s">
        <v>3</v>
      </c>
      <c r="B21" s="378" t="s">
        <v>599</v>
      </c>
      <c r="C21" s="378" t="s">
        <v>15</v>
      </c>
      <c r="D21" s="378" t="s">
        <v>27</v>
      </c>
      <c r="E21" s="378" t="s">
        <v>95</v>
      </c>
      <c r="F21" s="378" t="s">
        <v>73</v>
      </c>
      <c r="G21" s="378" t="s">
        <v>113</v>
      </c>
      <c r="H21" s="378" t="s">
        <v>17</v>
      </c>
      <c r="I21" s="378" t="s">
        <v>549</v>
      </c>
      <c r="J21" s="378" t="s">
        <v>550</v>
      </c>
      <c r="K21" s="378" t="s">
        <v>551</v>
      </c>
      <c r="L21" s="378" t="s">
        <v>552</v>
      </c>
      <c r="M21" s="378" t="s">
        <v>553</v>
      </c>
      <c r="N21" s="378" t="s">
        <v>72</v>
      </c>
      <c r="O21" s="378" t="s">
        <v>85</v>
      </c>
      <c r="P21" s="378" t="s">
        <v>61</v>
      </c>
      <c r="Q21" s="378" t="s">
        <v>62</v>
      </c>
      <c r="R21" s="75" t="s">
        <v>760</v>
      </c>
      <c r="S21" s="75" t="s">
        <v>65</v>
      </c>
      <c r="T21" s="47" t="s">
        <v>66</v>
      </c>
      <c r="U21" s="47" t="s">
        <v>67</v>
      </c>
      <c r="V21" s="47" t="s">
        <v>68</v>
      </c>
      <c r="W21" s="47" t="s">
        <v>554</v>
      </c>
      <c r="X21" s="47" t="s">
        <v>773</v>
      </c>
      <c r="Y21" s="47" t="s">
        <v>774</v>
      </c>
      <c r="Z21" s="47" t="s">
        <v>775</v>
      </c>
      <c r="AA21" s="47" t="s">
        <v>284</v>
      </c>
      <c r="AB21" s="47" t="s">
        <v>274</v>
      </c>
      <c r="AC21" s="47" t="s">
        <v>285</v>
      </c>
      <c r="AD21" s="47" t="s">
        <v>275</v>
      </c>
      <c r="AE21" s="47" t="s">
        <v>555</v>
      </c>
      <c r="AF21" s="47" t="s">
        <v>556</v>
      </c>
      <c r="AG21" s="47" t="s">
        <v>776</v>
      </c>
      <c r="AH21" s="47" t="s">
        <v>777</v>
      </c>
      <c r="AI21" s="47" t="s">
        <v>778</v>
      </c>
      <c r="AJ21" s="47" t="s">
        <v>557</v>
      </c>
      <c r="AK21" s="47" t="s">
        <v>779</v>
      </c>
      <c r="AL21" s="47" t="s">
        <v>780</v>
      </c>
      <c r="AM21" s="47" t="s">
        <v>781</v>
      </c>
      <c r="AN21" s="47" t="s">
        <v>782</v>
      </c>
      <c r="AO21" s="47" t="s">
        <v>783</v>
      </c>
      <c r="AP21" s="47" t="s">
        <v>784</v>
      </c>
      <c r="AQ21" s="47" t="s">
        <v>785</v>
      </c>
      <c r="AR21" s="47" t="s">
        <v>786</v>
      </c>
      <c r="AS21" s="47" t="s">
        <v>787</v>
      </c>
      <c r="AT21" s="47" t="s">
        <v>771</v>
      </c>
      <c r="AU21" s="47" t="s">
        <v>558</v>
      </c>
      <c r="AV21" s="47" t="s">
        <v>602</v>
      </c>
      <c r="AW21" s="47" t="s">
        <v>919</v>
      </c>
      <c r="AX21" s="47" t="s">
        <v>920</v>
      </c>
    </row>
    <row r="22" spans="1:50" s="47" customFormat="1" ht="20.399999999999999" x14ac:dyDescent="0.2">
      <c r="A22" s="379" t="s">
        <v>409</v>
      </c>
      <c r="B22" s="378" t="s">
        <v>599</v>
      </c>
      <c r="C22" s="378" t="s">
        <v>15</v>
      </c>
      <c r="D22" s="378" t="s">
        <v>27</v>
      </c>
      <c r="E22" s="378" t="s">
        <v>120</v>
      </c>
      <c r="F22" s="378" t="s">
        <v>121</v>
      </c>
      <c r="G22" s="378" t="s">
        <v>122</v>
      </c>
      <c r="H22" s="378" t="s">
        <v>279</v>
      </c>
      <c r="I22" s="378" t="s">
        <v>280</v>
      </c>
      <c r="J22" s="378" t="s">
        <v>126</v>
      </c>
      <c r="K22" s="378" t="s">
        <v>545</v>
      </c>
      <c r="L22" s="378" t="s">
        <v>61</v>
      </c>
      <c r="M22" s="378" t="s">
        <v>62</v>
      </c>
      <c r="N22" s="378" t="s">
        <v>760</v>
      </c>
      <c r="O22" s="378" t="s">
        <v>65</v>
      </c>
      <c r="P22" s="378" t="s">
        <v>66</v>
      </c>
      <c r="Q22" s="380" t="s">
        <v>67</v>
      </c>
      <c r="R22" s="75" t="s">
        <v>68</v>
      </c>
      <c r="S22" s="75" t="s">
        <v>602</v>
      </c>
    </row>
    <row r="23" spans="1:50" s="47" customFormat="1" ht="20.399999999999999" x14ac:dyDescent="0.2">
      <c r="A23" s="378" t="s">
        <v>44</v>
      </c>
      <c r="B23" s="378" t="s">
        <v>599</v>
      </c>
      <c r="C23" s="378" t="s">
        <v>15</v>
      </c>
      <c r="D23" s="378" t="s">
        <v>60</v>
      </c>
      <c r="E23" s="378" t="s">
        <v>65</v>
      </c>
      <c r="F23" s="378" t="s">
        <v>438</v>
      </c>
      <c r="G23" s="378" t="s">
        <v>61</v>
      </c>
      <c r="H23" s="378" t="s">
        <v>601</v>
      </c>
      <c r="I23" s="378" t="s">
        <v>755</v>
      </c>
      <c r="J23" s="378"/>
      <c r="K23" s="378"/>
      <c r="L23" s="378"/>
      <c r="M23" s="378"/>
      <c r="N23" s="378"/>
      <c r="O23" s="378"/>
      <c r="P23" s="378"/>
      <c r="Q23" s="378"/>
      <c r="R23" s="75"/>
      <c r="S23" s="75"/>
    </row>
    <row r="24" spans="1:50" s="47" customFormat="1" ht="20.399999999999999" x14ac:dyDescent="0.2">
      <c r="A24" s="378" t="s">
        <v>562</v>
      </c>
      <c r="B24" s="378" t="s">
        <v>599</v>
      </c>
      <c r="C24" s="378" t="s">
        <v>15</v>
      </c>
      <c r="D24" s="378" t="s">
        <v>563</v>
      </c>
      <c r="E24" s="378" t="s">
        <v>522</v>
      </c>
      <c r="F24" s="378" t="s">
        <v>61</v>
      </c>
      <c r="G24" s="378" t="s">
        <v>67</v>
      </c>
      <c r="H24" s="378"/>
      <c r="I24" s="378"/>
      <c r="J24" s="378"/>
      <c r="K24" s="378"/>
      <c r="L24" s="378"/>
      <c r="M24" s="378"/>
      <c r="N24" s="378"/>
      <c r="O24" s="378"/>
      <c r="P24" s="378"/>
      <c r="Q24" s="378"/>
      <c r="R24" s="75"/>
      <c r="S24" s="75"/>
    </row>
    <row r="25" spans="1:50" s="47" customFormat="1" ht="30.6" x14ac:dyDescent="0.2">
      <c r="A25" s="378" t="s">
        <v>4</v>
      </c>
      <c r="B25" s="378" t="s">
        <v>599</v>
      </c>
      <c r="C25" s="378" t="s">
        <v>15</v>
      </c>
      <c r="D25" s="378" t="s">
        <v>27</v>
      </c>
      <c r="E25" s="378" t="s">
        <v>91</v>
      </c>
      <c r="F25" s="378" t="s">
        <v>116</v>
      </c>
      <c r="G25" s="378" t="s">
        <v>117</v>
      </c>
      <c r="H25" s="378" t="s">
        <v>85</v>
      </c>
      <c r="I25" s="378" t="s">
        <v>119</v>
      </c>
      <c r="J25" s="378" t="s">
        <v>276</v>
      </c>
      <c r="K25" s="378" t="s">
        <v>416</v>
      </c>
      <c r="L25" s="378" t="s">
        <v>417</v>
      </c>
      <c r="M25" s="378" t="s">
        <v>61</v>
      </c>
      <c r="N25" s="378" t="s">
        <v>62</v>
      </c>
      <c r="O25" s="378" t="s">
        <v>763</v>
      </c>
      <c r="P25" s="378" t="s">
        <v>65</v>
      </c>
      <c r="Q25" s="378" t="s">
        <v>66</v>
      </c>
      <c r="R25" s="75" t="s">
        <v>67</v>
      </c>
      <c r="S25" s="75" t="s">
        <v>68</v>
      </c>
      <c r="T25" s="47" t="s">
        <v>542</v>
      </c>
      <c r="U25" s="47" t="s">
        <v>543</v>
      </c>
      <c r="V25" s="47" t="s">
        <v>765</v>
      </c>
      <c r="W25" s="47" t="s">
        <v>766</v>
      </c>
      <c r="X25" s="47" t="s">
        <v>544</v>
      </c>
      <c r="Y25" s="47" t="s">
        <v>767</v>
      </c>
      <c r="Z25" s="47" t="s">
        <v>768</v>
      </c>
      <c r="AA25" s="47" t="s">
        <v>769</v>
      </c>
      <c r="AB25" s="47" t="s">
        <v>770</v>
      </c>
      <c r="AC25" s="47" t="s">
        <v>545</v>
      </c>
      <c r="AD25" s="47" t="s">
        <v>38</v>
      </c>
      <c r="AE25" s="47" t="s">
        <v>546</v>
      </c>
      <c r="AF25" s="47" t="s">
        <v>73</v>
      </c>
      <c r="AG25" s="47" t="s">
        <v>95</v>
      </c>
      <c r="AH25" s="47" t="s">
        <v>771</v>
      </c>
      <c r="AI25" s="47" t="s">
        <v>602</v>
      </c>
    </row>
    <row r="26" spans="1:50" s="47" customFormat="1" ht="20.399999999999999" x14ac:dyDescent="0.2">
      <c r="A26" s="379" t="s">
        <v>10</v>
      </c>
      <c r="B26" s="378" t="s">
        <v>599</v>
      </c>
      <c r="C26" s="378" t="s">
        <v>15</v>
      </c>
      <c r="D26" s="378" t="s">
        <v>149</v>
      </c>
      <c r="E26" s="378" t="s">
        <v>150</v>
      </c>
      <c r="F26" s="378" t="s">
        <v>151</v>
      </c>
      <c r="G26" s="378" t="s">
        <v>152</v>
      </c>
      <c r="H26" s="378" t="s">
        <v>116</v>
      </c>
      <c r="I26" s="378" t="s">
        <v>153</v>
      </c>
      <c r="J26" s="378" t="s">
        <v>154</v>
      </c>
      <c r="K26" s="378" t="s">
        <v>559</v>
      </c>
      <c r="L26" s="378" t="s">
        <v>560</v>
      </c>
      <c r="M26" s="378" t="s">
        <v>61</v>
      </c>
      <c r="N26" s="378" t="s">
        <v>62</v>
      </c>
      <c r="O26" s="378" t="s">
        <v>760</v>
      </c>
      <c r="P26" s="378" t="s">
        <v>65</v>
      </c>
      <c r="Q26" s="380" t="s">
        <v>66</v>
      </c>
      <c r="R26" s="75" t="s">
        <v>67</v>
      </c>
      <c r="S26" s="75" t="s">
        <v>68</v>
      </c>
      <c r="T26" s="47" t="s">
        <v>602</v>
      </c>
      <c r="U26" s="47" t="s">
        <v>36</v>
      </c>
      <c r="V26" s="47" t="s">
        <v>32</v>
      </c>
      <c r="W26" s="47" t="s">
        <v>444</v>
      </c>
      <c r="X26" s="47" t="s">
        <v>558</v>
      </c>
      <c r="Y26" s="47" t="s">
        <v>38</v>
      </c>
      <c r="Z26" s="47" t="s">
        <v>543</v>
      </c>
      <c r="AA26" s="47" t="s">
        <v>546</v>
      </c>
      <c r="AB26" s="47" t="s">
        <v>545</v>
      </c>
      <c r="AC26" s="47" t="s">
        <v>417</v>
      </c>
      <c r="AD26" s="47" t="s">
        <v>416</v>
      </c>
    </row>
    <row r="27" spans="1:50" s="47" customFormat="1" ht="20.399999999999999" x14ac:dyDescent="0.2">
      <c r="A27" s="378" t="s">
        <v>0</v>
      </c>
      <c r="B27" s="378" t="s">
        <v>599</v>
      </c>
      <c r="C27" s="378" t="s">
        <v>15</v>
      </c>
      <c r="D27" s="378" t="s">
        <v>410</v>
      </c>
      <c r="E27" s="378" t="s">
        <v>76</v>
      </c>
      <c r="F27" s="378" t="s">
        <v>77</v>
      </c>
      <c r="G27" s="378" t="s">
        <v>78</v>
      </c>
      <c r="H27" s="378" t="s">
        <v>79</v>
      </c>
      <c r="I27" s="378" t="s">
        <v>81</v>
      </c>
      <c r="J27" s="378" t="s">
        <v>82</v>
      </c>
      <c r="K27" s="378" t="s">
        <v>83</v>
      </c>
      <c r="L27" s="378" t="s">
        <v>84</v>
      </c>
      <c r="M27" s="378" t="s">
        <v>85</v>
      </c>
      <c r="N27" s="378" t="s">
        <v>86</v>
      </c>
      <c r="O27" s="378" t="s">
        <v>915</v>
      </c>
      <c r="P27" s="378" t="s">
        <v>88</v>
      </c>
      <c r="Q27" s="378" t="s">
        <v>61</v>
      </c>
      <c r="R27" s="75" t="s">
        <v>62</v>
      </c>
      <c r="S27" s="75" t="s">
        <v>760</v>
      </c>
      <c r="T27" s="47" t="s">
        <v>65</v>
      </c>
      <c r="U27" s="47" t="s">
        <v>66</v>
      </c>
      <c r="V27" s="47" t="s">
        <v>67</v>
      </c>
      <c r="W27" s="47" t="s">
        <v>68</v>
      </c>
      <c r="X27" s="47" t="s">
        <v>602</v>
      </c>
    </row>
    <row r="28" spans="1:50" s="47" customFormat="1" ht="20.399999999999999" x14ac:dyDescent="0.2">
      <c r="A28" s="72" t="s">
        <v>2</v>
      </c>
      <c r="B28" s="45" t="s">
        <v>599</v>
      </c>
      <c r="C28" s="73" t="s">
        <v>15</v>
      </c>
      <c r="D28" s="73" t="s">
        <v>26</v>
      </c>
      <c r="E28" s="73" t="s">
        <v>69</v>
      </c>
      <c r="F28" s="73" t="s">
        <v>23</v>
      </c>
      <c r="G28" s="73" t="s">
        <v>70</v>
      </c>
      <c r="H28" s="73" t="s">
        <v>71</v>
      </c>
      <c r="I28" s="73" t="s">
        <v>72</v>
      </c>
      <c r="J28" s="73" t="s">
        <v>73</v>
      </c>
      <c r="K28" s="73" t="s">
        <v>75</v>
      </c>
      <c r="L28" s="73" t="s">
        <v>85</v>
      </c>
      <c r="M28" s="73" t="s">
        <v>61</v>
      </c>
      <c r="N28" s="73" t="s">
        <v>62</v>
      </c>
      <c r="O28" s="73" t="s">
        <v>760</v>
      </c>
      <c r="P28" s="73" t="s">
        <v>65</v>
      </c>
      <c r="Q28" s="71" t="s">
        <v>66</v>
      </c>
      <c r="R28" s="47" t="s">
        <v>67</v>
      </c>
      <c r="S28" s="47" t="s">
        <v>68</v>
      </c>
      <c r="T28" s="47" t="s">
        <v>761</v>
      </c>
      <c r="U28" s="47" t="s">
        <v>602</v>
      </c>
      <c r="V28" s="47" t="s">
        <v>821</v>
      </c>
      <c r="W28" s="47" t="s">
        <v>914</v>
      </c>
    </row>
    <row r="29" spans="1:50" s="47" customFormat="1" ht="20.399999999999999" x14ac:dyDescent="0.2">
      <c r="A29" s="378" t="s">
        <v>750</v>
      </c>
      <c r="B29" s="378" t="s">
        <v>599</v>
      </c>
      <c r="C29" s="378" t="s">
        <v>15</v>
      </c>
      <c r="D29" s="378" t="s">
        <v>797</v>
      </c>
      <c r="E29" s="378" t="s">
        <v>798</v>
      </c>
      <c r="F29" s="378" t="s">
        <v>61</v>
      </c>
      <c r="G29" s="378" t="s">
        <v>62</v>
      </c>
      <c r="H29" s="378" t="s">
        <v>68</v>
      </c>
      <c r="I29" s="378" t="s">
        <v>760</v>
      </c>
      <c r="J29" s="378" t="s">
        <v>65</v>
      </c>
      <c r="K29" s="378" t="s">
        <v>66</v>
      </c>
      <c r="L29" s="378" t="s">
        <v>67</v>
      </c>
      <c r="M29" s="378" t="s">
        <v>602</v>
      </c>
      <c r="N29" s="378"/>
      <c r="O29" s="378"/>
      <c r="P29" s="378"/>
      <c r="Q29" s="378"/>
      <c r="R29" s="75"/>
      <c r="S29" s="75"/>
    </row>
    <row r="30" spans="1:50" s="47" customFormat="1" ht="10.199999999999999" x14ac:dyDescent="0.2">
      <c r="A30" s="378" t="s">
        <v>747</v>
      </c>
      <c r="B30" s="378" t="s">
        <v>599</v>
      </c>
      <c r="C30" s="378" t="s">
        <v>15</v>
      </c>
      <c r="D30" s="378" t="s">
        <v>26</v>
      </c>
      <c r="E30" s="378" t="s">
        <v>291</v>
      </c>
      <c r="F30" s="378" t="s">
        <v>153</v>
      </c>
      <c r="G30" s="378" t="s">
        <v>789</v>
      </c>
      <c r="H30" s="378" t="s">
        <v>149</v>
      </c>
      <c r="I30" s="378"/>
      <c r="J30" s="378"/>
      <c r="K30" s="378"/>
      <c r="L30" s="378"/>
      <c r="M30" s="378"/>
      <c r="N30" s="378"/>
      <c r="O30" s="378"/>
      <c r="P30" s="378"/>
      <c r="Q30" s="378"/>
      <c r="R30" s="75"/>
      <c r="S30" s="75"/>
    </row>
    <row r="31" spans="1:50" s="47" customFormat="1" ht="20.399999999999999" x14ac:dyDescent="0.2">
      <c r="A31" s="378" t="s">
        <v>870</v>
      </c>
      <c r="B31" s="378" t="s">
        <v>599</v>
      </c>
      <c r="C31" s="378" t="s">
        <v>15</v>
      </c>
      <c r="D31" s="378" t="s">
        <v>27</v>
      </c>
      <c r="E31" s="378" t="s">
        <v>61</v>
      </c>
      <c r="F31" s="378" t="s">
        <v>62</v>
      </c>
      <c r="G31" s="378" t="s">
        <v>760</v>
      </c>
      <c r="H31" s="378" t="s">
        <v>65</v>
      </c>
      <c r="I31" s="378" t="s">
        <v>66</v>
      </c>
      <c r="J31" s="378" t="s">
        <v>67</v>
      </c>
      <c r="K31" s="378" t="s">
        <v>68</v>
      </c>
      <c r="L31" s="378" t="s">
        <v>602</v>
      </c>
      <c r="M31" s="378"/>
      <c r="N31" s="378"/>
      <c r="O31" s="378"/>
      <c r="P31" s="378"/>
      <c r="Q31" s="378"/>
      <c r="R31" s="75"/>
      <c r="S31" s="75"/>
    </row>
    <row r="32" spans="1:50" s="47" customFormat="1" ht="20.399999999999999" x14ac:dyDescent="0.2">
      <c r="A32" s="378" t="s">
        <v>753</v>
      </c>
      <c r="B32" s="378" t="s">
        <v>599</v>
      </c>
      <c r="C32" s="378" t="s">
        <v>15</v>
      </c>
      <c r="D32" s="378" t="s">
        <v>69</v>
      </c>
      <c r="E32" s="378" t="s">
        <v>801</v>
      </c>
      <c r="F32" s="378" t="s">
        <v>802</v>
      </c>
      <c r="G32" s="378" t="s">
        <v>820</v>
      </c>
      <c r="H32" s="378" t="s">
        <v>803</v>
      </c>
      <c r="I32" s="378" t="s">
        <v>61</v>
      </c>
      <c r="J32" s="378" t="s">
        <v>62</v>
      </c>
      <c r="K32" s="378" t="s">
        <v>760</v>
      </c>
      <c r="L32" s="378" t="s">
        <v>65</v>
      </c>
      <c r="M32" s="378" t="s">
        <v>66</v>
      </c>
      <c r="N32" s="378" t="s">
        <v>67</v>
      </c>
      <c r="O32" s="378" t="s">
        <v>68</v>
      </c>
      <c r="P32" s="378" t="s">
        <v>602</v>
      </c>
      <c r="Q32" s="378"/>
      <c r="R32" s="75"/>
      <c r="S32" s="75"/>
    </row>
    <row r="33" spans="1:50" s="47" customFormat="1" ht="30.6" x14ac:dyDescent="0.2">
      <c r="A33" s="378" t="s">
        <v>431</v>
      </c>
      <c r="B33" s="378" t="s">
        <v>599</v>
      </c>
      <c r="C33" s="378" t="s">
        <v>15</v>
      </c>
      <c r="D33" s="378" t="s">
        <v>523</v>
      </c>
      <c r="E33" s="378" t="s">
        <v>61</v>
      </c>
      <c r="F33" s="378" t="s">
        <v>524</v>
      </c>
      <c r="G33" s="378" t="s">
        <v>913</v>
      </c>
      <c r="H33" s="378" t="s">
        <v>442</v>
      </c>
      <c r="I33" s="378" t="s">
        <v>62</v>
      </c>
      <c r="J33" s="378" t="s">
        <v>525</v>
      </c>
      <c r="K33" s="378" t="s">
        <v>526</v>
      </c>
      <c r="L33" s="378" t="s">
        <v>527</v>
      </c>
      <c r="M33" s="378" t="s">
        <v>422</v>
      </c>
      <c r="N33" s="378" t="s">
        <v>95</v>
      </c>
      <c r="O33" s="378" t="s">
        <v>528</v>
      </c>
      <c r="P33" s="378" t="s">
        <v>756</v>
      </c>
      <c r="Q33" s="378" t="s">
        <v>69</v>
      </c>
      <c r="R33" s="75" t="s">
        <v>161</v>
      </c>
      <c r="S33" s="75" t="s">
        <v>757</v>
      </c>
      <c r="T33" s="47" t="s">
        <v>758</v>
      </c>
      <c r="U33" s="47" t="s">
        <v>759</v>
      </c>
      <c r="V33" s="47" t="s">
        <v>602</v>
      </c>
    </row>
    <row r="34" spans="1:50" s="47" customFormat="1" ht="20.399999999999999" x14ac:dyDescent="0.2">
      <c r="A34" s="378" t="s">
        <v>752</v>
      </c>
      <c r="B34" s="378" t="s">
        <v>599</v>
      </c>
      <c r="C34" s="378" t="s">
        <v>15</v>
      </c>
      <c r="D34" s="378" t="s">
        <v>114</v>
      </c>
      <c r="E34" s="378" t="s">
        <v>800</v>
      </c>
      <c r="F34" s="378" t="s">
        <v>61</v>
      </c>
      <c r="G34" s="378" t="s">
        <v>62</v>
      </c>
      <c r="H34" s="378" t="s">
        <v>68</v>
      </c>
      <c r="I34" s="378" t="s">
        <v>760</v>
      </c>
      <c r="J34" s="378" t="s">
        <v>65</v>
      </c>
      <c r="K34" s="378" t="s">
        <v>66</v>
      </c>
      <c r="L34" s="378" t="s">
        <v>67</v>
      </c>
      <c r="M34" s="378" t="s">
        <v>22</v>
      </c>
      <c r="N34" s="378" t="s">
        <v>602</v>
      </c>
      <c r="O34" s="378"/>
      <c r="P34" s="378"/>
      <c r="Q34" s="378"/>
      <c r="R34" s="75"/>
      <c r="S34" s="75"/>
    </row>
    <row r="35" spans="1:50" s="47" customFormat="1" ht="30.6" x14ac:dyDescent="0.2">
      <c r="A35" s="378" t="s">
        <v>45</v>
      </c>
      <c r="B35" s="378" t="s">
        <v>599</v>
      </c>
      <c r="C35" s="378" t="s">
        <v>15</v>
      </c>
      <c r="D35" s="378" t="s">
        <v>89</v>
      </c>
      <c r="E35" s="378" t="s">
        <v>762</v>
      </c>
      <c r="F35" s="378" t="s">
        <v>61</v>
      </c>
      <c r="G35" s="378" t="s">
        <v>62</v>
      </c>
      <c r="H35" s="378" t="s">
        <v>760</v>
      </c>
      <c r="I35" s="378" t="s">
        <v>65</v>
      </c>
      <c r="J35" s="378" t="s">
        <v>66</v>
      </c>
      <c r="K35" s="378" t="s">
        <v>67</v>
      </c>
      <c r="L35" s="378" t="s">
        <v>68</v>
      </c>
      <c r="M35" s="378" t="s">
        <v>602</v>
      </c>
      <c r="N35" s="378"/>
      <c r="O35" s="378"/>
      <c r="P35" s="378"/>
      <c r="Q35" s="378"/>
      <c r="R35" s="75"/>
      <c r="S35" s="75"/>
    </row>
    <row r="36" spans="1:50" s="47" customFormat="1" ht="20.399999999999999" x14ac:dyDescent="0.2">
      <c r="A36" s="378" t="s">
        <v>537</v>
      </c>
      <c r="B36" s="378" t="s">
        <v>599</v>
      </c>
      <c r="C36" s="378" t="s">
        <v>15</v>
      </c>
      <c r="D36" s="378" t="s">
        <v>61</v>
      </c>
      <c r="E36" s="378" t="s">
        <v>62</v>
      </c>
      <c r="F36" s="378" t="s">
        <v>68</v>
      </c>
      <c r="G36" s="378" t="s">
        <v>760</v>
      </c>
      <c r="H36" s="378" t="s">
        <v>65</v>
      </c>
      <c r="I36" s="378" t="s">
        <v>66</v>
      </c>
      <c r="J36" s="378" t="s">
        <v>67</v>
      </c>
      <c r="K36" s="378" t="s">
        <v>602</v>
      </c>
      <c r="L36" s="378" t="s">
        <v>35</v>
      </c>
      <c r="M36" s="378" t="s">
        <v>538</v>
      </c>
      <c r="N36" s="378" t="s">
        <v>539</v>
      </c>
      <c r="O36" s="378"/>
      <c r="P36" s="378"/>
      <c r="Q36" s="378"/>
      <c r="R36" s="75"/>
      <c r="S36" s="75"/>
    </row>
    <row r="37" spans="1:50" s="47" customFormat="1" ht="20.399999999999999" x14ac:dyDescent="0.3">
      <c r="A37" s="378" t="s">
        <v>535</v>
      </c>
      <c r="B37" s="378" t="s">
        <v>599</v>
      </c>
      <c r="C37" s="378" t="s">
        <v>15</v>
      </c>
      <c r="D37" s="378" t="s">
        <v>69</v>
      </c>
      <c r="E37" s="378" t="s">
        <v>536</v>
      </c>
      <c r="F37" s="378" t="s">
        <v>95</v>
      </c>
      <c r="G37" s="378" t="s">
        <v>61</v>
      </c>
      <c r="H37" s="378" t="s">
        <v>62</v>
      </c>
      <c r="I37" s="381" t="s">
        <v>68</v>
      </c>
      <c r="J37" s="381" t="s">
        <v>760</v>
      </c>
      <c r="K37" s="381" t="s">
        <v>65</v>
      </c>
      <c r="L37" s="381" t="s">
        <v>66</v>
      </c>
      <c r="M37" s="381" t="s">
        <v>67</v>
      </c>
      <c r="N37" s="381" t="s">
        <v>602</v>
      </c>
      <c r="O37" s="381"/>
      <c r="P37" s="381"/>
      <c r="Q37" s="381"/>
      <c r="R37" s="75"/>
      <c r="S37" s="75"/>
    </row>
    <row r="38" spans="1:50" s="47" customFormat="1" ht="20.399999999999999" x14ac:dyDescent="0.2">
      <c r="A38" s="378" t="s">
        <v>49</v>
      </c>
      <c r="B38" s="378" t="s">
        <v>599</v>
      </c>
      <c r="C38" s="378" t="s">
        <v>15</v>
      </c>
      <c r="D38" s="378" t="s">
        <v>149</v>
      </c>
      <c r="E38" s="378" t="s">
        <v>155</v>
      </c>
      <c r="F38" s="378" t="s">
        <v>100</v>
      </c>
      <c r="G38" s="378" t="s">
        <v>101</v>
      </c>
      <c r="H38" s="378" t="s">
        <v>156</v>
      </c>
      <c r="I38" s="378" t="s">
        <v>157</v>
      </c>
      <c r="J38" s="378" t="s">
        <v>158</v>
      </c>
      <c r="K38" s="378" t="s">
        <v>159</v>
      </c>
      <c r="L38" s="378" t="s">
        <v>92</v>
      </c>
      <c r="M38" s="378" t="s">
        <v>93</v>
      </c>
      <c r="N38" s="378" t="s">
        <v>141</v>
      </c>
      <c r="O38" s="378" t="s">
        <v>95</v>
      </c>
      <c r="P38" s="378" t="s">
        <v>118</v>
      </c>
      <c r="Q38" s="378" t="s">
        <v>548</v>
      </c>
      <c r="R38" s="75" t="s">
        <v>61</v>
      </c>
      <c r="S38" s="75" t="s">
        <v>62</v>
      </c>
      <c r="T38" s="47" t="s">
        <v>760</v>
      </c>
      <c r="U38" s="47" t="s">
        <v>65</v>
      </c>
      <c r="V38" s="47" t="s">
        <v>66</v>
      </c>
      <c r="W38" s="47" t="s">
        <v>67</v>
      </c>
      <c r="X38" s="47" t="s">
        <v>68</v>
      </c>
      <c r="Y38" s="47" t="s">
        <v>602</v>
      </c>
    </row>
    <row r="39" spans="1:50" s="47" customFormat="1" ht="20.399999999999999" x14ac:dyDescent="0.2">
      <c r="A39" s="72" t="s">
        <v>922</v>
      </c>
      <c r="B39" s="45" t="s">
        <v>599</v>
      </c>
      <c r="C39" s="73" t="s">
        <v>15</v>
      </c>
      <c r="D39" s="73" t="s">
        <v>271</v>
      </c>
      <c r="E39" s="73" t="s">
        <v>95</v>
      </c>
      <c r="F39" s="73" t="s">
        <v>790</v>
      </c>
      <c r="G39" s="73" t="s">
        <v>61</v>
      </c>
      <c r="H39" s="73" t="s">
        <v>62</v>
      </c>
      <c r="I39" s="73" t="s">
        <v>68</v>
      </c>
      <c r="J39" s="73" t="s">
        <v>760</v>
      </c>
      <c r="K39" s="73" t="s">
        <v>65</v>
      </c>
      <c r="L39" s="73" t="s">
        <v>66</v>
      </c>
      <c r="M39" s="73" t="s">
        <v>67</v>
      </c>
      <c r="N39" s="73" t="s">
        <v>602</v>
      </c>
      <c r="O39" s="73"/>
      <c r="P39" s="73"/>
      <c r="Q39" s="71"/>
    </row>
    <row r="40" spans="1:50" s="47" customFormat="1" ht="20.399999999999999" x14ac:dyDescent="0.2">
      <c r="A40" s="378" t="s">
        <v>748</v>
      </c>
      <c r="B40" s="378" t="s">
        <v>599</v>
      </c>
      <c r="C40" s="378" t="s">
        <v>15</v>
      </c>
      <c r="D40" s="378" t="s">
        <v>149</v>
      </c>
      <c r="E40" s="378" t="s">
        <v>791</v>
      </c>
      <c r="F40" s="378" t="s">
        <v>792</v>
      </c>
      <c r="G40" s="378" t="s">
        <v>793</v>
      </c>
      <c r="H40" s="378" t="s">
        <v>794</v>
      </c>
      <c r="I40" s="378" t="s">
        <v>153</v>
      </c>
      <c r="J40" s="378" t="s">
        <v>117</v>
      </c>
      <c r="K40" s="378" t="s">
        <v>280</v>
      </c>
      <c r="L40" s="378" t="s">
        <v>543</v>
      </c>
      <c r="M40" s="378" t="s">
        <v>127</v>
      </c>
      <c r="N40" s="378"/>
      <c r="O40" s="378"/>
      <c r="P40" s="378"/>
      <c r="Q40" s="378"/>
      <c r="R40" s="75"/>
      <c r="S40" s="75"/>
    </row>
    <row r="41" spans="1:50" s="47" customFormat="1" ht="20.399999999999999" x14ac:dyDescent="0.2">
      <c r="A41" s="378" t="s">
        <v>5</v>
      </c>
      <c r="B41" s="378" t="s">
        <v>599</v>
      </c>
      <c r="C41" s="378" t="s">
        <v>15</v>
      </c>
      <c r="D41" s="378" t="s">
        <v>127</v>
      </c>
      <c r="E41" s="378" t="s">
        <v>128</v>
      </c>
      <c r="F41" s="378" t="s">
        <v>129</v>
      </c>
      <c r="G41" s="378" t="s">
        <v>540</v>
      </c>
      <c r="H41" s="378" t="s">
        <v>85</v>
      </c>
      <c r="I41" s="378" t="s">
        <v>61</v>
      </c>
      <c r="J41" s="378" t="s">
        <v>62</v>
      </c>
      <c r="K41" s="378" t="s">
        <v>763</v>
      </c>
      <c r="L41" s="378" t="s">
        <v>65</v>
      </c>
      <c r="M41" s="378" t="s">
        <v>66</v>
      </c>
      <c r="N41" s="378" t="s">
        <v>67</v>
      </c>
      <c r="O41" s="378" t="s">
        <v>68</v>
      </c>
      <c r="P41" s="378" t="s">
        <v>541</v>
      </c>
      <c r="Q41" s="378" t="s">
        <v>147</v>
      </c>
      <c r="R41" s="75" t="s">
        <v>148</v>
      </c>
      <c r="S41" s="75" t="s">
        <v>141</v>
      </c>
      <c r="T41" s="47" t="s">
        <v>144</v>
      </c>
      <c r="U41" s="47" t="s">
        <v>145</v>
      </c>
      <c r="V41" s="47" t="s">
        <v>146</v>
      </c>
      <c r="W41" s="47" t="s">
        <v>142</v>
      </c>
      <c r="X41" s="47" t="s">
        <v>140</v>
      </c>
      <c r="Y41" s="47" t="s">
        <v>143</v>
      </c>
      <c r="Z41" s="47" t="s">
        <v>132</v>
      </c>
      <c r="AA41" s="47" t="s">
        <v>131</v>
      </c>
      <c r="AB41" s="47" t="s">
        <v>134</v>
      </c>
      <c r="AC41" s="47" t="s">
        <v>139</v>
      </c>
      <c r="AD41" s="47" t="s">
        <v>764</v>
      </c>
      <c r="AE41" s="47" t="s">
        <v>133</v>
      </c>
      <c r="AF41" s="47" t="s">
        <v>138</v>
      </c>
      <c r="AG41" s="47" t="s">
        <v>42</v>
      </c>
      <c r="AH41" s="47" t="s">
        <v>135</v>
      </c>
      <c r="AI41" s="47" t="s">
        <v>136</v>
      </c>
      <c r="AJ41" s="47" t="s">
        <v>137</v>
      </c>
      <c r="AK41" s="47" t="s">
        <v>130</v>
      </c>
      <c r="AL41" s="47" t="s">
        <v>602</v>
      </c>
      <c r="AM41" s="47" t="s">
        <v>604</v>
      </c>
      <c r="AN41" s="47" t="s">
        <v>930</v>
      </c>
      <c r="AO41" s="47" t="s">
        <v>931</v>
      </c>
      <c r="AP41" s="47" t="s">
        <v>932</v>
      </c>
      <c r="AQ41" s="47" t="s">
        <v>933</v>
      </c>
      <c r="AR41" s="47" t="s">
        <v>934</v>
      </c>
      <c r="AS41" s="47" t="s">
        <v>935</v>
      </c>
      <c r="AT41" s="47" t="s">
        <v>936</v>
      </c>
      <c r="AU41" s="47" t="s">
        <v>937</v>
      </c>
      <c r="AV41" s="47" t="s">
        <v>938</v>
      </c>
      <c r="AW41" s="47" t="s">
        <v>939</v>
      </c>
      <c r="AX41" s="47" t="s">
        <v>940</v>
      </c>
    </row>
    <row r="42" spans="1:50" s="47" customFormat="1" ht="20.399999999999999" x14ac:dyDescent="0.2">
      <c r="A42" s="379" t="s">
        <v>532</v>
      </c>
      <c r="B42" s="378" t="s">
        <v>599</v>
      </c>
      <c r="C42" s="378" t="s">
        <v>15</v>
      </c>
      <c r="D42" s="378" t="s">
        <v>69</v>
      </c>
      <c r="E42" s="378" t="s">
        <v>422</v>
      </c>
      <c r="F42" s="378" t="s">
        <v>100</v>
      </c>
      <c r="G42" s="378" t="s">
        <v>101</v>
      </c>
      <c r="H42" s="378" t="s">
        <v>533</v>
      </c>
      <c r="I42" s="378" t="s">
        <v>534</v>
      </c>
      <c r="J42" s="378" t="s">
        <v>61</v>
      </c>
      <c r="K42" s="378" t="s">
        <v>62</v>
      </c>
      <c r="L42" s="378" t="s">
        <v>68</v>
      </c>
      <c r="M42" s="378" t="s">
        <v>760</v>
      </c>
      <c r="N42" s="378" t="s">
        <v>65</v>
      </c>
      <c r="O42" s="378" t="s">
        <v>66</v>
      </c>
      <c r="P42" s="378" t="s">
        <v>67</v>
      </c>
      <c r="Q42" s="380" t="s">
        <v>602</v>
      </c>
      <c r="R42" s="75"/>
      <c r="S42" s="75"/>
    </row>
    <row r="43" spans="1:50" s="47" customFormat="1" ht="20.399999999999999" x14ac:dyDescent="0.2">
      <c r="A43" s="378" t="s">
        <v>54</v>
      </c>
      <c r="B43" s="378" t="s">
        <v>599</v>
      </c>
      <c r="C43" s="378" t="s">
        <v>15</v>
      </c>
      <c r="D43" s="378" t="s">
        <v>69</v>
      </c>
      <c r="E43" s="378" t="s">
        <v>165</v>
      </c>
      <c r="F43" s="378" t="s">
        <v>95</v>
      </c>
      <c r="G43" s="378" t="s">
        <v>166</v>
      </c>
      <c r="H43" s="378" t="s">
        <v>167</v>
      </c>
      <c r="I43" s="378" t="s">
        <v>168</v>
      </c>
      <c r="J43" s="378" t="s">
        <v>61</v>
      </c>
      <c r="K43" s="378" t="s">
        <v>62</v>
      </c>
      <c r="L43" s="378" t="s">
        <v>760</v>
      </c>
      <c r="M43" s="378" t="s">
        <v>65</v>
      </c>
      <c r="N43" s="378" t="s">
        <v>66</v>
      </c>
      <c r="O43" s="378" t="s">
        <v>67</v>
      </c>
      <c r="P43" s="378" t="s">
        <v>68</v>
      </c>
      <c r="Q43" s="378" t="s">
        <v>602</v>
      </c>
      <c r="R43" s="75"/>
      <c r="S43" s="75"/>
    </row>
    <row r="44" spans="1:50" s="47" customFormat="1" ht="20.399999999999999" x14ac:dyDescent="0.2">
      <c r="A44" s="72" t="s">
        <v>53</v>
      </c>
      <c r="B44" s="45" t="s">
        <v>599</v>
      </c>
      <c r="C44" s="73" t="s">
        <v>15</v>
      </c>
      <c r="D44" s="73" t="s">
        <v>69</v>
      </c>
      <c r="E44" s="73" t="s">
        <v>162</v>
      </c>
      <c r="F44" s="73" t="s">
        <v>163</v>
      </c>
      <c r="G44" s="73" t="s">
        <v>100</v>
      </c>
      <c r="H44" s="73" t="s">
        <v>124</v>
      </c>
      <c r="I44" s="73" t="s">
        <v>164</v>
      </c>
      <c r="J44" s="73" t="s">
        <v>61</v>
      </c>
      <c r="K44" s="73" t="s">
        <v>62</v>
      </c>
      <c r="L44" s="73" t="s">
        <v>760</v>
      </c>
      <c r="M44" s="73" t="s">
        <v>65</v>
      </c>
      <c r="N44" s="73" t="s">
        <v>66</v>
      </c>
      <c r="O44" s="73" t="s">
        <v>67</v>
      </c>
      <c r="P44" s="73" t="s">
        <v>68</v>
      </c>
      <c r="Q44" s="71" t="s">
        <v>38</v>
      </c>
      <c r="R44" s="47" t="s">
        <v>602</v>
      </c>
    </row>
    <row r="45" spans="1:50" s="47" customFormat="1" ht="20.399999999999999" x14ac:dyDescent="0.2">
      <c r="A45" s="378" t="s">
        <v>531</v>
      </c>
      <c r="B45" s="378" t="s">
        <v>599</v>
      </c>
      <c r="C45" s="378" t="s">
        <v>15</v>
      </c>
      <c r="D45" s="378" t="s">
        <v>26</v>
      </c>
      <c r="E45" s="378" t="s">
        <v>141</v>
      </c>
      <c r="F45" s="378" t="s">
        <v>788</v>
      </c>
      <c r="G45" s="378" t="s">
        <v>61</v>
      </c>
      <c r="H45" s="378" t="s">
        <v>62</v>
      </c>
      <c r="I45" s="378" t="s">
        <v>760</v>
      </c>
      <c r="J45" s="378" t="s">
        <v>65</v>
      </c>
      <c r="K45" s="378" t="s">
        <v>66</v>
      </c>
      <c r="L45" s="378" t="s">
        <v>67</v>
      </c>
      <c r="M45" s="378" t="s">
        <v>68</v>
      </c>
      <c r="N45" s="378" t="s">
        <v>602</v>
      </c>
      <c r="O45" s="378"/>
      <c r="P45" s="378"/>
      <c r="Q45" s="378"/>
      <c r="R45" s="75"/>
      <c r="S45" s="75"/>
    </row>
    <row r="46" spans="1:50" s="47" customFormat="1" ht="20.399999999999999" x14ac:dyDescent="0.2">
      <c r="A46" s="378" t="s">
        <v>51</v>
      </c>
      <c r="B46" s="378" t="s">
        <v>599</v>
      </c>
      <c r="C46" s="378" t="s">
        <v>15</v>
      </c>
      <c r="D46" s="378" t="s">
        <v>22</v>
      </c>
      <c r="E46" s="378" t="s">
        <v>38</v>
      </c>
      <c r="F46" s="378" t="s">
        <v>418</v>
      </c>
      <c r="G46" s="378" t="s">
        <v>61</v>
      </c>
      <c r="H46" s="378" t="s">
        <v>62</v>
      </c>
      <c r="I46" s="378" t="s">
        <v>760</v>
      </c>
      <c r="J46" s="378" t="s">
        <v>65</v>
      </c>
      <c r="K46" s="378" t="s">
        <v>66</v>
      </c>
      <c r="L46" s="378" t="s">
        <v>67</v>
      </c>
      <c r="M46" s="378" t="s">
        <v>68</v>
      </c>
      <c r="N46" s="378" t="s">
        <v>602</v>
      </c>
      <c r="O46" s="378"/>
      <c r="P46" s="378"/>
      <c r="Q46" s="378"/>
      <c r="R46" s="75"/>
      <c r="S46" s="75"/>
    </row>
    <row r="47" spans="1:50" s="47" customFormat="1" ht="20.399999999999999" x14ac:dyDescent="0.2">
      <c r="A47" s="378" t="s">
        <v>921</v>
      </c>
      <c r="B47" s="378" t="s">
        <v>599</v>
      </c>
      <c r="C47" s="378" t="s">
        <v>15</v>
      </c>
      <c r="D47" s="378" t="s">
        <v>69</v>
      </c>
      <c r="E47" s="378" t="s">
        <v>95</v>
      </c>
      <c r="F47" s="378" t="s">
        <v>790</v>
      </c>
      <c r="G47" s="378" t="s">
        <v>538</v>
      </c>
      <c r="H47" s="378" t="s">
        <v>548</v>
      </c>
      <c r="I47" s="378" t="s">
        <v>61</v>
      </c>
      <c r="J47" s="378" t="s">
        <v>62</v>
      </c>
      <c r="K47" s="378" t="s">
        <v>68</v>
      </c>
      <c r="L47" s="378" t="s">
        <v>760</v>
      </c>
      <c r="M47" s="378" t="s">
        <v>65</v>
      </c>
      <c r="N47" s="378" t="s">
        <v>66</v>
      </c>
      <c r="O47" s="378" t="s">
        <v>67</v>
      </c>
      <c r="P47" s="378" t="s">
        <v>602</v>
      </c>
      <c r="Q47" s="378"/>
      <c r="R47" s="75"/>
      <c r="S47" s="75"/>
    </row>
    <row r="48" spans="1:50" s="47" customFormat="1" ht="20.399999999999999" x14ac:dyDescent="0.2">
      <c r="A48" s="378" t="s">
        <v>46</v>
      </c>
      <c r="B48" s="378" t="s">
        <v>599</v>
      </c>
      <c r="C48" s="378" t="s">
        <v>15</v>
      </c>
      <c r="D48" s="378" t="s">
        <v>69</v>
      </c>
      <c r="E48" s="378" t="s">
        <v>123</v>
      </c>
      <c r="F48" s="378" t="s">
        <v>124</v>
      </c>
      <c r="G48" s="378" t="s">
        <v>125</v>
      </c>
      <c r="H48" s="378" t="s">
        <v>126</v>
      </c>
      <c r="I48" s="378" t="s">
        <v>118</v>
      </c>
      <c r="J48" s="378" t="s">
        <v>61</v>
      </c>
      <c r="K48" s="378" t="s">
        <v>62</v>
      </c>
      <c r="L48" s="378" t="s">
        <v>760</v>
      </c>
      <c r="M48" s="378" t="s">
        <v>65</v>
      </c>
      <c r="N48" s="378" t="s">
        <v>66</v>
      </c>
      <c r="O48" s="378" t="s">
        <v>67</v>
      </c>
      <c r="P48" s="378" t="s">
        <v>68</v>
      </c>
      <c r="Q48" s="378" t="s">
        <v>602</v>
      </c>
      <c r="R48" s="75"/>
      <c r="S48" s="75"/>
    </row>
    <row r="49" spans="1:25" s="47" customFormat="1" ht="20.399999999999999" x14ac:dyDescent="0.2">
      <c r="A49" s="378" t="s">
        <v>746</v>
      </c>
      <c r="B49" s="378" t="s">
        <v>599</v>
      </c>
      <c r="C49" s="378" t="s">
        <v>15</v>
      </c>
      <c r="D49" s="378" t="s">
        <v>141</v>
      </c>
      <c r="E49" s="378" t="s">
        <v>32</v>
      </c>
      <c r="F49" s="378" t="s">
        <v>61</v>
      </c>
      <c r="G49" s="378" t="s">
        <v>62</v>
      </c>
      <c r="H49" s="378" t="s">
        <v>760</v>
      </c>
      <c r="I49" s="378" t="s">
        <v>65</v>
      </c>
      <c r="J49" s="378" t="s">
        <v>66</v>
      </c>
      <c r="K49" s="378" t="s">
        <v>67</v>
      </c>
      <c r="L49" s="378" t="s">
        <v>68</v>
      </c>
      <c r="M49" s="378" t="s">
        <v>602</v>
      </c>
      <c r="N49" s="378"/>
      <c r="O49" s="378"/>
      <c r="P49" s="378"/>
      <c r="Q49" s="378"/>
      <c r="R49" s="75"/>
      <c r="S49" s="75"/>
    </row>
    <row r="50" spans="1:25" s="47" customFormat="1" ht="20.399999999999999" x14ac:dyDescent="0.2">
      <c r="A50" s="378" t="s">
        <v>419</v>
      </c>
      <c r="B50" s="378" t="s">
        <v>599</v>
      </c>
      <c r="C50" s="378" t="s">
        <v>15</v>
      </c>
      <c r="D50" s="378" t="s">
        <v>27</v>
      </c>
      <c r="E50" s="378" t="s">
        <v>91</v>
      </c>
      <c r="F50" s="378" t="s">
        <v>420</v>
      </c>
      <c r="G50" s="378" t="s">
        <v>421</v>
      </c>
      <c r="H50" s="378" t="s">
        <v>422</v>
      </c>
      <c r="I50" s="378" t="s">
        <v>95</v>
      </c>
      <c r="J50" s="378" t="s">
        <v>61</v>
      </c>
      <c r="K50" s="378" t="s">
        <v>62</v>
      </c>
      <c r="L50" s="378" t="s">
        <v>760</v>
      </c>
      <c r="M50" s="378" t="s">
        <v>65</v>
      </c>
      <c r="N50" s="378" t="s">
        <v>66</v>
      </c>
      <c r="O50" s="378" t="s">
        <v>67</v>
      </c>
      <c r="P50" s="378" t="s">
        <v>68</v>
      </c>
      <c r="Q50" s="378" t="s">
        <v>602</v>
      </c>
      <c r="R50" s="75" t="s">
        <v>100</v>
      </c>
      <c r="S50" s="75" t="s">
        <v>124</v>
      </c>
    </row>
    <row r="51" spans="1:25" s="47" customFormat="1" ht="20.399999999999999" x14ac:dyDescent="0.2">
      <c r="A51" s="378" t="s">
        <v>423</v>
      </c>
      <c r="B51" s="378" t="s">
        <v>599</v>
      </c>
      <c r="C51" s="378" t="s">
        <v>15</v>
      </c>
      <c r="D51" s="378" t="s">
        <v>421</v>
      </c>
      <c r="E51" s="378" t="s">
        <v>422</v>
      </c>
      <c r="F51" s="378" t="s">
        <v>95</v>
      </c>
      <c r="G51" s="378" t="s">
        <v>38</v>
      </c>
      <c r="H51" s="378" t="s">
        <v>61</v>
      </c>
      <c r="I51" s="378" t="s">
        <v>62</v>
      </c>
      <c r="J51" s="378" t="s">
        <v>760</v>
      </c>
      <c r="K51" s="378" t="s">
        <v>65</v>
      </c>
      <c r="L51" s="378" t="s">
        <v>66</v>
      </c>
      <c r="M51" s="378" t="s">
        <v>67</v>
      </c>
      <c r="N51" s="378" t="s">
        <v>68</v>
      </c>
      <c r="O51" s="378" t="s">
        <v>602</v>
      </c>
      <c r="P51" s="378"/>
      <c r="Q51" s="378"/>
      <c r="R51" s="75"/>
      <c r="S51" s="75"/>
    </row>
    <row r="52" spans="1:25" s="47" customFormat="1" ht="20.399999999999999" x14ac:dyDescent="0.2">
      <c r="A52" s="378" t="s">
        <v>301</v>
      </c>
      <c r="B52" s="378" t="s">
        <v>599</v>
      </c>
      <c r="C52" s="378" t="s">
        <v>15</v>
      </c>
      <c r="D52" s="378" t="s">
        <v>95</v>
      </c>
      <c r="E52" s="378" t="s">
        <v>166</v>
      </c>
      <c r="F52" s="378" t="s">
        <v>167</v>
      </c>
      <c r="G52" s="378" t="s">
        <v>61</v>
      </c>
      <c r="H52" s="378" t="s">
        <v>62</v>
      </c>
      <c r="I52" s="378" t="s">
        <v>760</v>
      </c>
      <c r="J52" s="378" t="s">
        <v>65</v>
      </c>
      <c r="K52" s="378" t="s">
        <v>66</v>
      </c>
      <c r="L52" s="378" t="s">
        <v>67</v>
      </c>
      <c r="M52" s="378" t="s">
        <v>68</v>
      </c>
      <c r="N52" s="378" t="s">
        <v>602</v>
      </c>
      <c r="O52" s="378"/>
      <c r="P52" s="378"/>
      <c r="Q52" s="378"/>
      <c r="R52" s="75"/>
      <c r="S52" s="75"/>
    </row>
    <row r="53" spans="1:25" s="47" customFormat="1" ht="20.399999999999999" x14ac:dyDescent="0.2">
      <c r="A53" s="378" t="s">
        <v>754</v>
      </c>
      <c r="B53" s="378" t="s">
        <v>599</v>
      </c>
      <c r="C53" s="378" t="s">
        <v>15</v>
      </c>
      <c r="D53" s="378" t="s">
        <v>114</v>
      </c>
      <c r="E53" s="378" t="s">
        <v>61</v>
      </c>
      <c r="F53" s="378" t="s">
        <v>62</v>
      </c>
      <c r="G53" s="378" t="s">
        <v>68</v>
      </c>
      <c r="H53" s="378" t="s">
        <v>760</v>
      </c>
      <c r="I53" s="378" t="s">
        <v>65</v>
      </c>
      <c r="J53" s="378" t="s">
        <v>66</v>
      </c>
      <c r="K53" s="378" t="s">
        <v>67</v>
      </c>
      <c r="L53" s="378" t="s">
        <v>22</v>
      </c>
      <c r="M53" s="378" t="s">
        <v>602</v>
      </c>
      <c r="N53" s="378"/>
      <c r="O53" s="378"/>
      <c r="P53" s="378"/>
      <c r="Q53" s="378"/>
      <c r="R53" s="75"/>
      <c r="S53" s="75"/>
    </row>
    <row r="54" spans="1:25" s="47" customFormat="1" ht="20.399999999999999" x14ac:dyDescent="0.2">
      <c r="A54" s="378" t="s">
        <v>50</v>
      </c>
      <c r="B54" s="378" t="s">
        <v>599</v>
      </c>
      <c r="C54" s="378" t="s">
        <v>15</v>
      </c>
      <c r="D54" s="378" t="s">
        <v>149</v>
      </c>
      <c r="E54" s="378" t="s">
        <v>155</v>
      </c>
      <c r="F54" s="378" t="s">
        <v>160</v>
      </c>
      <c r="G54" s="378" t="s">
        <v>100</v>
      </c>
      <c r="H54" s="378" t="s">
        <v>101</v>
      </c>
      <c r="I54" s="378" t="s">
        <v>156</v>
      </c>
      <c r="J54" s="378" t="s">
        <v>157</v>
      </c>
      <c r="K54" s="378" t="s">
        <v>158</v>
      </c>
      <c r="L54" s="378" t="s">
        <v>159</v>
      </c>
      <c r="M54" s="378" t="s">
        <v>92</v>
      </c>
      <c r="N54" s="378" t="s">
        <v>93</v>
      </c>
      <c r="O54" s="378" t="s">
        <v>95</v>
      </c>
      <c r="P54" s="378" t="s">
        <v>118</v>
      </c>
      <c r="Q54" s="378" t="s">
        <v>548</v>
      </c>
      <c r="R54" s="75" t="s">
        <v>61</v>
      </c>
      <c r="S54" s="75" t="s">
        <v>62</v>
      </c>
      <c r="T54" s="47" t="s">
        <v>760</v>
      </c>
      <c r="U54" s="47" t="s">
        <v>65</v>
      </c>
      <c r="V54" s="47" t="s">
        <v>66</v>
      </c>
      <c r="W54" s="47" t="s">
        <v>67</v>
      </c>
      <c r="X54" s="47" t="s">
        <v>68</v>
      </c>
      <c r="Y54" s="47" t="s">
        <v>602</v>
      </c>
    </row>
    <row r="55" spans="1:25" s="47" customFormat="1" ht="20.399999999999999" x14ac:dyDescent="0.2">
      <c r="A55" s="378" t="s">
        <v>749</v>
      </c>
      <c r="B55" s="378" t="s">
        <v>599</v>
      </c>
      <c r="C55" s="378" t="s">
        <v>15</v>
      </c>
      <c r="D55" s="378" t="s">
        <v>795</v>
      </c>
      <c r="E55" s="378" t="s">
        <v>796</v>
      </c>
      <c r="F55" s="378" t="s">
        <v>794</v>
      </c>
      <c r="G55" s="378" t="s">
        <v>153</v>
      </c>
      <c r="H55" s="378" t="s">
        <v>117</v>
      </c>
      <c r="I55" s="378" t="s">
        <v>35</v>
      </c>
      <c r="J55" s="378" t="s">
        <v>127</v>
      </c>
      <c r="K55" s="378"/>
      <c r="L55" s="378"/>
      <c r="M55" s="378"/>
      <c r="N55" s="378"/>
      <c r="O55" s="378"/>
      <c r="P55" s="378"/>
      <c r="Q55" s="378"/>
      <c r="R55" s="75"/>
      <c r="S55" s="75"/>
    </row>
    <row r="56" spans="1:25" s="47" customFormat="1" ht="10.199999999999999" x14ac:dyDescent="0.2">
      <c r="A56" s="72"/>
      <c r="B56" s="45"/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1"/>
    </row>
    <row r="57" spans="1:25" s="47" customFormat="1" ht="10.199999999999999" x14ac:dyDescent="0.2">
      <c r="A57" s="72"/>
      <c r="B57" s="45"/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73"/>
      <c r="Q57" s="71"/>
    </row>
    <row r="58" spans="1:25" s="47" customFormat="1" ht="10.199999999999999" x14ac:dyDescent="0.2">
      <c r="A58" s="72"/>
      <c r="B58" s="45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3"/>
      <c r="Q58" s="71"/>
    </row>
    <row r="59" spans="1:25" s="47" customFormat="1" ht="10.199999999999999" x14ac:dyDescent="0.2">
      <c r="A59" s="72"/>
      <c r="B59" s="45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1"/>
    </row>
    <row r="60" spans="1:25" s="47" customFormat="1" ht="10.199999999999999" x14ac:dyDescent="0.2">
      <c r="A60" s="72"/>
      <c r="B60" s="45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1"/>
    </row>
    <row r="61" spans="1:25" s="47" customFormat="1" ht="10.199999999999999" x14ac:dyDescent="0.2">
      <c r="A61" s="72"/>
      <c r="B61" s="45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1"/>
    </row>
    <row r="62" spans="1:25" s="47" customFormat="1" ht="10.199999999999999" x14ac:dyDescent="0.2">
      <c r="A62" s="72"/>
      <c r="B62" s="45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73"/>
      <c r="P62" s="73"/>
      <c r="Q62" s="71"/>
    </row>
    <row r="63" spans="1:25" s="47" customFormat="1" ht="10.199999999999999" x14ac:dyDescent="0.2">
      <c r="A63" s="72"/>
      <c r="B63" s="45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3"/>
      <c r="Q63" s="71"/>
    </row>
    <row r="64" spans="1:25" s="47" customFormat="1" ht="10.199999999999999" x14ac:dyDescent="0.2">
      <c r="A64" s="72"/>
      <c r="B64" s="45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1"/>
    </row>
    <row r="65" spans="1:17" s="47" customFormat="1" ht="10.199999999999999" x14ac:dyDescent="0.2">
      <c r="A65" s="72"/>
      <c r="B65" s="45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1"/>
    </row>
    <row r="66" spans="1:17" s="47" customFormat="1" ht="10.199999999999999" x14ac:dyDescent="0.2">
      <c r="A66" s="72"/>
      <c r="B66" s="45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1"/>
    </row>
    <row r="67" spans="1:17" s="47" customFormat="1" ht="10.199999999999999" x14ac:dyDescent="0.2">
      <c r="A67" s="72"/>
      <c r="B67" s="45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1"/>
    </row>
    <row r="68" spans="1:17" s="47" customFormat="1" ht="10.199999999999999" x14ac:dyDescent="0.2">
      <c r="A68" s="72"/>
      <c r="B68" s="45"/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1"/>
    </row>
    <row r="69" spans="1:17" s="47" customFormat="1" ht="10.199999999999999" x14ac:dyDescent="0.2">
      <c r="A69" s="72"/>
      <c r="B69" s="45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1"/>
    </row>
    <row r="70" spans="1:17" s="47" customFormat="1" ht="10.199999999999999" x14ac:dyDescent="0.2">
      <c r="A70" s="72"/>
      <c r="B70" s="45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1"/>
    </row>
    <row r="71" spans="1:17" s="47" customFormat="1" ht="10.199999999999999" x14ac:dyDescent="0.2">
      <c r="A71" s="72"/>
      <c r="B71" s="45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1"/>
    </row>
    <row r="72" spans="1:17" s="47" customFormat="1" ht="10.199999999999999" x14ac:dyDescent="0.2">
      <c r="A72" s="72"/>
      <c r="B72" s="45"/>
      <c r="C72" s="73"/>
      <c r="D72" s="73"/>
      <c r="E72" s="73"/>
      <c r="F72" s="73"/>
      <c r="G72" s="73"/>
      <c r="H72" s="73"/>
      <c r="I72" s="73"/>
      <c r="J72" s="73"/>
      <c r="K72" s="73"/>
      <c r="L72" s="73"/>
      <c r="M72" s="73"/>
      <c r="N72" s="73"/>
      <c r="O72" s="73"/>
      <c r="P72" s="73"/>
      <c r="Q72" s="71"/>
    </row>
    <row r="73" spans="1:17" s="47" customFormat="1" ht="10.199999999999999" x14ac:dyDescent="0.2">
      <c r="A73" s="72"/>
      <c r="B73" s="45"/>
      <c r="C73" s="73"/>
      <c r="D73" s="73"/>
      <c r="E73" s="73"/>
      <c r="F73" s="73"/>
      <c r="G73" s="73"/>
      <c r="H73" s="73"/>
      <c r="I73" s="73"/>
      <c r="J73" s="73"/>
      <c r="K73" s="73"/>
      <c r="L73" s="73"/>
      <c r="M73" s="73"/>
      <c r="N73" s="73"/>
      <c r="O73" s="73"/>
      <c r="P73" s="73"/>
      <c r="Q73" s="71"/>
    </row>
    <row r="74" spans="1:17" s="47" customFormat="1" ht="10.199999999999999" x14ac:dyDescent="0.2">
      <c r="A74" s="72"/>
      <c r="B74" s="45"/>
      <c r="C74" s="73"/>
      <c r="D74" s="73"/>
      <c r="E74" s="73"/>
      <c r="F74" s="73"/>
      <c r="G74" s="73"/>
      <c r="H74" s="73"/>
      <c r="I74" s="73"/>
      <c r="J74" s="73"/>
      <c r="K74" s="73"/>
      <c r="L74" s="73"/>
      <c r="M74" s="73"/>
      <c r="N74" s="73"/>
      <c r="O74" s="73"/>
      <c r="P74" s="73"/>
      <c r="Q74" s="71"/>
    </row>
    <row r="75" spans="1:17" s="47" customFormat="1" ht="10.199999999999999" x14ac:dyDescent="0.2">
      <c r="A75" s="72"/>
      <c r="B75" s="45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1"/>
    </row>
    <row r="76" spans="1:17" s="47" customFormat="1" ht="10.199999999999999" x14ac:dyDescent="0.2">
      <c r="A76" s="72"/>
      <c r="B76" s="45"/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73"/>
      <c r="N76" s="73"/>
      <c r="O76" s="73"/>
      <c r="P76" s="73"/>
      <c r="Q76" s="71"/>
    </row>
    <row r="77" spans="1:17" s="47" customFormat="1" ht="10.199999999999999" x14ac:dyDescent="0.2">
      <c r="A77" s="72"/>
      <c r="B77" s="45"/>
      <c r="C77" s="73"/>
      <c r="D77" s="73"/>
      <c r="E77" s="73"/>
      <c r="F77" s="73"/>
      <c r="G77" s="73"/>
      <c r="H77" s="73"/>
      <c r="I77" s="73"/>
      <c r="J77" s="73"/>
      <c r="K77" s="73"/>
      <c r="L77" s="73"/>
      <c r="M77" s="73"/>
      <c r="N77" s="73"/>
      <c r="O77" s="73"/>
      <c r="P77" s="73"/>
      <c r="Q77" s="71"/>
    </row>
    <row r="78" spans="1:17" s="47" customFormat="1" ht="10.199999999999999" x14ac:dyDescent="0.2">
      <c r="A78" s="72"/>
      <c r="B78" s="45"/>
      <c r="C78" s="73"/>
      <c r="D78" s="73"/>
      <c r="E78" s="73"/>
      <c r="F78" s="73"/>
      <c r="G78" s="73"/>
      <c r="H78" s="73"/>
      <c r="I78" s="73"/>
      <c r="J78" s="73"/>
      <c r="K78" s="73"/>
      <c r="L78" s="73"/>
      <c r="M78" s="73"/>
      <c r="N78" s="73"/>
      <c r="O78" s="73"/>
      <c r="P78" s="73"/>
      <c r="Q78" s="71"/>
    </row>
    <row r="79" spans="1:17" s="47" customFormat="1" ht="10.199999999999999" x14ac:dyDescent="0.2">
      <c r="A79" s="72"/>
      <c r="B79" s="45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1"/>
    </row>
    <row r="80" spans="1:17" s="47" customFormat="1" ht="10.199999999999999" x14ac:dyDescent="0.2">
      <c r="A80" s="72"/>
      <c r="B80" s="45"/>
      <c r="C80" s="73"/>
      <c r="D80" s="73"/>
      <c r="E80" s="73"/>
      <c r="F80" s="73"/>
      <c r="G80" s="73"/>
      <c r="H80" s="73"/>
      <c r="I80" s="73"/>
      <c r="J80" s="73"/>
      <c r="K80" s="73"/>
      <c r="L80" s="73"/>
      <c r="M80" s="73"/>
      <c r="N80" s="73"/>
      <c r="O80" s="73"/>
      <c r="P80" s="73"/>
      <c r="Q80" s="71"/>
    </row>
    <row r="81" spans="1:17" s="47" customFormat="1" ht="10.199999999999999" x14ac:dyDescent="0.2">
      <c r="A81" s="72"/>
      <c r="B81" s="45"/>
      <c r="C81" s="73"/>
      <c r="D81" s="73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1"/>
    </row>
    <row r="82" spans="1:17" s="47" customFormat="1" ht="10.199999999999999" x14ac:dyDescent="0.2">
      <c r="A82" s="72"/>
      <c r="B82" s="45"/>
      <c r="C82" s="73"/>
      <c r="D82" s="73"/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73"/>
      <c r="P82" s="73"/>
      <c r="Q82" s="71"/>
    </row>
    <row r="83" spans="1:17" s="47" customFormat="1" ht="10.199999999999999" x14ac:dyDescent="0.2">
      <c r="A83" s="72"/>
      <c r="B83" s="45"/>
      <c r="C83" s="73"/>
      <c r="D83" s="73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  <c r="P83" s="73"/>
      <c r="Q83" s="71"/>
    </row>
    <row r="84" spans="1:17" s="47" customFormat="1" ht="10.199999999999999" x14ac:dyDescent="0.2">
      <c r="A84" s="72"/>
      <c r="B84" s="45"/>
      <c r="C84" s="73"/>
      <c r="D84" s="73"/>
      <c r="E84" s="73"/>
      <c r="F84" s="73"/>
      <c r="G84" s="73"/>
      <c r="H84" s="73"/>
      <c r="I84" s="73"/>
      <c r="J84" s="73"/>
      <c r="K84" s="73"/>
      <c r="L84" s="73"/>
      <c r="M84" s="73"/>
      <c r="N84" s="73"/>
      <c r="O84" s="73"/>
      <c r="P84" s="73"/>
      <c r="Q84" s="71"/>
    </row>
    <row r="85" spans="1:17" s="47" customFormat="1" ht="10.199999999999999" x14ac:dyDescent="0.2">
      <c r="A85" s="72"/>
      <c r="B85" s="45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  <c r="P85" s="73"/>
      <c r="Q85" s="71"/>
    </row>
    <row r="86" spans="1:17" s="47" customFormat="1" ht="10.199999999999999" x14ac:dyDescent="0.2">
      <c r="A86" s="72"/>
      <c r="B86" s="45"/>
      <c r="C86" s="73"/>
      <c r="D86" s="73"/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73"/>
      <c r="P86" s="73"/>
      <c r="Q86" s="71"/>
    </row>
    <row r="87" spans="1:17" s="47" customFormat="1" ht="10.199999999999999" x14ac:dyDescent="0.2">
      <c r="A87" s="72"/>
      <c r="B87" s="45"/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1"/>
    </row>
    <row r="88" spans="1:17" s="47" customFormat="1" ht="10.199999999999999" x14ac:dyDescent="0.2">
      <c r="A88" s="72"/>
      <c r="B88" s="45"/>
      <c r="C88" s="73"/>
      <c r="D88" s="73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73"/>
      <c r="Q88" s="71"/>
    </row>
    <row r="89" spans="1:17" s="47" customFormat="1" ht="10.199999999999999" x14ac:dyDescent="0.2">
      <c r="A89" s="72"/>
      <c r="B89" s="45"/>
      <c r="C89" s="73"/>
      <c r="D89" s="73"/>
      <c r="E89" s="73"/>
      <c r="F89" s="73"/>
      <c r="G89" s="73"/>
      <c r="H89" s="73"/>
      <c r="I89" s="73"/>
      <c r="J89" s="73"/>
      <c r="K89" s="73"/>
      <c r="L89" s="73"/>
      <c r="M89" s="73"/>
      <c r="N89" s="73"/>
      <c r="O89" s="73"/>
      <c r="P89" s="73"/>
      <c r="Q89" s="71"/>
    </row>
    <row r="90" spans="1:17" s="47" customFormat="1" ht="10.199999999999999" x14ac:dyDescent="0.2">
      <c r="A90" s="72"/>
      <c r="B90" s="45"/>
      <c r="C90" s="73"/>
      <c r="D90" s="73"/>
      <c r="E90" s="73"/>
      <c r="F90" s="73"/>
      <c r="G90" s="73"/>
      <c r="H90" s="73"/>
      <c r="I90" s="73"/>
      <c r="J90" s="73"/>
      <c r="K90" s="73"/>
      <c r="L90" s="73"/>
      <c r="M90" s="73"/>
      <c r="N90" s="73"/>
      <c r="O90" s="73"/>
      <c r="P90" s="73"/>
      <c r="Q90" s="71"/>
    </row>
    <row r="91" spans="1:17" s="47" customFormat="1" ht="10.199999999999999" x14ac:dyDescent="0.2">
      <c r="A91" s="72"/>
      <c r="B91" s="45"/>
      <c r="C91" s="73"/>
      <c r="D91" s="73"/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1"/>
    </row>
    <row r="92" spans="1:17" s="47" customFormat="1" ht="10.199999999999999" x14ac:dyDescent="0.2">
      <c r="A92" s="72"/>
      <c r="B92" s="45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73"/>
      <c r="Q92" s="71"/>
    </row>
    <row r="93" spans="1:17" s="47" customFormat="1" ht="10.199999999999999" x14ac:dyDescent="0.2">
      <c r="A93" s="72"/>
      <c r="B93" s="45"/>
      <c r="C93" s="73"/>
      <c r="D93" s="73"/>
      <c r="E93" s="73"/>
      <c r="F93" s="73"/>
      <c r="G93" s="73"/>
      <c r="H93" s="73"/>
      <c r="I93" s="73"/>
      <c r="J93" s="73"/>
      <c r="K93" s="73"/>
      <c r="L93" s="73"/>
      <c r="M93" s="73"/>
      <c r="N93" s="73"/>
      <c r="O93" s="73"/>
      <c r="P93" s="73"/>
      <c r="Q93" s="71"/>
    </row>
    <row r="94" spans="1:17" s="47" customFormat="1" ht="10.199999999999999" x14ac:dyDescent="0.2">
      <c r="A94" s="72"/>
      <c r="B94" s="45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73"/>
      <c r="N94" s="73"/>
      <c r="O94" s="73"/>
      <c r="P94" s="73"/>
      <c r="Q94" s="71"/>
    </row>
    <row r="95" spans="1:17" x14ac:dyDescent="0.3">
      <c r="B95" s="31"/>
      <c r="C95" s="70"/>
      <c r="D95" s="70"/>
      <c r="E95" s="70"/>
      <c r="F95" s="70"/>
      <c r="G95" s="70"/>
      <c r="H95" s="70"/>
      <c r="I95" s="70"/>
      <c r="J95" s="70"/>
      <c r="K95" s="70"/>
      <c r="L95" s="70"/>
      <c r="M95" s="70"/>
      <c r="N95" s="70"/>
      <c r="O95" s="70"/>
      <c r="P95" s="70"/>
      <c r="Q95" s="70"/>
    </row>
    <row r="96" spans="1:17" x14ac:dyDescent="0.3">
      <c r="B96" s="31"/>
      <c r="C96" s="70"/>
      <c r="D96" s="70"/>
      <c r="E96" s="70"/>
      <c r="F96" s="70"/>
      <c r="G96" s="70"/>
      <c r="H96" s="70"/>
      <c r="I96" s="70"/>
      <c r="J96" s="70"/>
      <c r="K96" s="70"/>
      <c r="L96" s="70"/>
      <c r="M96" s="70"/>
      <c r="N96" s="70"/>
      <c r="O96" s="70"/>
      <c r="P96" s="70"/>
      <c r="Q96" s="70"/>
    </row>
    <row r="97" spans="2:17" x14ac:dyDescent="0.3">
      <c r="B97" s="31"/>
      <c r="C97" s="70"/>
      <c r="D97" s="70"/>
      <c r="E97" s="70"/>
      <c r="F97" s="70"/>
      <c r="G97" s="70"/>
      <c r="H97" s="70"/>
      <c r="I97" s="70"/>
      <c r="J97" s="70"/>
      <c r="K97" s="70"/>
      <c r="L97" s="70"/>
      <c r="M97" s="70"/>
      <c r="N97" s="70"/>
      <c r="O97" s="70"/>
      <c r="P97" s="70"/>
      <c r="Q97" s="70"/>
    </row>
    <row r="98" spans="2:17" x14ac:dyDescent="0.3">
      <c r="B98" s="31"/>
      <c r="C98" s="70"/>
      <c r="D98" s="70"/>
      <c r="E98" s="70"/>
      <c r="F98" s="70"/>
      <c r="G98" s="70"/>
      <c r="H98" s="70"/>
      <c r="I98" s="70"/>
      <c r="J98" s="70"/>
      <c r="K98" s="70"/>
      <c r="L98" s="70"/>
      <c r="M98" s="70"/>
      <c r="N98" s="70"/>
      <c r="O98" s="70"/>
      <c r="P98" s="70"/>
      <c r="Q98" s="70"/>
    </row>
    <row r="99" spans="2:17" x14ac:dyDescent="0.3">
      <c r="B99" s="31"/>
      <c r="C99" s="70"/>
      <c r="D99" s="70"/>
      <c r="E99" s="70"/>
      <c r="F99" s="70"/>
      <c r="G99" s="70"/>
      <c r="H99" s="70"/>
      <c r="I99" s="70"/>
      <c r="J99" s="70"/>
      <c r="K99" s="70"/>
      <c r="L99" s="70"/>
      <c r="M99" s="70"/>
      <c r="N99" s="70"/>
      <c r="O99" s="70"/>
      <c r="P99" s="70"/>
      <c r="Q99" s="70"/>
    </row>
    <row r="100" spans="2:17" x14ac:dyDescent="0.3">
      <c r="B100" s="31"/>
      <c r="C100" s="70"/>
      <c r="D100" s="70"/>
      <c r="E100" s="70"/>
      <c r="F100" s="70"/>
      <c r="G100" s="70"/>
      <c r="H100" s="70"/>
      <c r="I100" s="70"/>
      <c r="J100" s="70"/>
      <c r="K100" s="70"/>
      <c r="L100" s="70"/>
      <c r="M100" s="70"/>
      <c r="N100" s="70"/>
      <c r="O100" s="70"/>
      <c r="P100" s="70"/>
      <c r="Q100" s="70"/>
    </row>
    <row r="101" spans="2:17" x14ac:dyDescent="0.3">
      <c r="B101" s="31"/>
    </row>
    <row r="102" spans="2:17" x14ac:dyDescent="0.3">
      <c r="B102" s="31"/>
    </row>
    <row r="103" spans="2:17" x14ac:dyDescent="0.3">
      <c r="B103" s="31"/>
    </row>
    <row r="104" spans="2:17" x14ac:dyDescent="0.3">
      <c r="B104" s="31"/>
    </row>
    <row r="105" spans="2:17" x14ac:dyDescent="0.3">
      <c r="B105" s="31"/>
    </row>
    <row r="106" spans="2:17" x14ac:dyDescent="0.3">
      <c r="B106" s="31"/>
    </row>
    <row r="107" spans="2:17" x14ac:dyDescent="0.3">
      <c r="B107" s="31"/>
    </row>
    <row r="108" spans="2:17" x14ac:dyDescent="0.3">
      <c r="B108" s="31"/>
    </row>
    <row r="109" spans="2:17" x14ac:dyDescent="0.3">
      <c r="B109" s="31"/>
    </row>
    <row r="110" spans="2:17" x14ac:dyDescent="0.3">
      <c r="B110" s="31"/>
    </row>
    <row r="111" spans="2:17" x14ac:dyDescent="0.3">
      <c r="B111" s="31"/>
    </row>
    <row r="112" spans="2:17" x14ac:dyDescent="0.3">
      <c r="B112" s="31"/>
    </row>
    <row r="113" spans="2:2" x14ac:dyDescent="0.3">
      <c r="B113" s="31"/>
    </row>
    <row r="114" spans="2:2" x14ac:dyDescent="0.3">
      <c r="B114" s="31"/>
    </row>
    <row r="115" spans="2:2" x14ac:dyDescent="0.3">
      <c r="B115" s="31"/>
    </row>
    <row r="116" spans="2:2" x14ac:dyDescent="0.3">
      <c r="B116" s="31"/>
    </row>
    <row r="117" spans="2:2" x14ac:dyDescent="0.3">
      <c r="B117" s="31"/>
    </row>
    <row r="118" spans="2:2" x14ac:dyDescent="0.3">
      <c r="B118" s="31"/>
    </row>
    <row r="119" spans="2:2" x14ac:dyDescent="0.3">
      <c r="B119" s="31"/>
    </row>
    <row r="120" spans="2:2" x14ac:dyDescent="0.3">
      <c r="B120" s="31"/>
    </row>
    <row r="121" spans="2:2" x14ac:dyDescent="0.3">
      <c r="B121" s="31"/>
    </row>
    <row r="122" spans="2:2" x14ac:dyDescent="0.3">
      <c r="B122" s="31"/>
    </row>
    <row r="123" spans="2:2" x14ac:dyDescent="0.3">
      <c r="B123" s="31"/>
    </row>
    <row r="124" spans="2:2" x14ac:dyDescent="0.3">
      <c r="B124" s="31"/>
    </row>
    <row r="125" spans="2:2" x14ac:dyDescent="0.3">
      <c r="B125" s="31"/>
    </row>
    <row r="126" spans="2:2" x14ac:dyDescent="0.3">
      <c r="B126" s="31"/>
    </row>
    <row r="127" spans="2:2" x14ac:dyDescent="0.3">
      <c r="B127" s="31"/>
    </row>
    <row r="128" spans="2:2" x14ac:dyDescent="0.3">
      <c r="B128" s="31"/>
    </row>
    <row r="129" spans="2:2" x14ac:dyDescent="0.3">
      <c r="B129" s="31"/>
    </row>
    <row r="130" spans="2:2" x14ac:dyDescent="0.3">
      <c r="B130" s="31"/>
    </row>
    <row r="131" spans="2:2" x14ac:dyDescent="0.3">
      <c r="B131" s="31"/>
    </row>
    <row r="132" spans="2:2" x14ac:dyDescent="0.3">
      <c r="B132" s="31"/>
    </row>
    <row r="133" spans="2:2" x14ac:dyDescent="0.3">
      <c r="B133" s="31"/>
    </row>
    <row r="134" spans="2:2" x14ac:dyDescent="0.3">
      <c r="B134" s="31"/>
    </row>
    <row r="135" spans="2:2" x14ac:dyDescent="0.3">
      <c r="B135" s="31"/>
    </row>
    <row r="136" spans="2:2" x14ac:dyDescent="0.3">
      <c r="B136" s="31"/>
    </row>
    <row r="137" spans="2:2" x14ac:dyDescent="0.3">
      <c r="B137" s="31"/>
    </row>
    <row r="138" spans="2:2" x14ac:dyDescent="0.3">
      <c r="B138" s="31"/>
    </row>
    <row r="139" spans="2:2" x14ac:dyDescent="0.3">
      <c r="B139" s="31"/>
    </row>
    <row r="140" spans="2:2" x14ac:dyDescent="0.3">
      <c r="B140" s="31"/>
    </row>
    <row r="141" spans="2:2" x14ac:dyDescent="0.3">
      <c r="B141" s="31"/>
    </row>
    <row r="142" spans="2:2" x14ac:dyDescent="0.3">
      <c r="B142" s="31"/>
    </row>
    <row r="143" spans="2:2" x14ac:dyDescent="0.3">
      <c r="B143" s="31"/>
    </row>
    <row r="144" spans="2:2" x14ac:dyDescent="0.3">
      <c r="B144" s="31"/>
    </row>
    <row r="145" spans="2:2" x14ac:dyDescent="0.3">
      <c r="B145" s="31"/>
    </row>
    <row r="146" spans="2:2" x14ac:dyDescent="0.3">
      <c r="B146" s="31"/>
    </row>
    <row r="147" spans="2:2" x14ac:dyDescent="0.3">
      <c r="B147" s="31"/>
    </row>
    <row r="148" spans="2:2" x14ac:dyDescent="0.3">
      <c r="B148" s="31"/>
    </row>
    <row r="149" spans="2:2" x14ac:dyDescent="0.3">
      <c r="B149" s="31"/>
    </row>
    <row r="150" spans="2:2" x14ac:dyDescent="0.3">
      <c r="B150" s="31"/>
    </row>
    <row r="151" spans="2:2" x14ac:dyDescent="0.3">
      <c r="B151" s="31"/>
    </row>
    <row r="152" spans="2:2" x14ac:dyDescent="0.3">
      <c r="B152" s="31"/>
    </row>
    <row r="153" spans="2:2" x14ac:dyDescent="0.3">
      <c r="B153" s="31"/>
    </row>
    <row r="154" spans="2:2" x14ac:dyDescent="0.3">
      <c r="B154" s="31"/>
    </row>
    <row r="155" spans="2:2" x14ac:dyDescent="0.3">
      <c r="B155" s="31"/>
    </row>
    <row r="156" spans="2:2" x14ac:dyDescent="0.3">
      <c r="B156" s="31"/>
    </row>
    <row r="157" spans="2:2" x14ac:dyDescent="0.3">
      <c r="B157" s="31"/>
    </row>
    <row r="158" spans="2:2" x14ac:dyDescent="0.3">
      <c r="B158" s="31"/>
    </row>
    <row r="159" spans="2:2" x14ac:dyDescent="0.3">
      <c r="B159" s="31"/>
    </row>
    <row r="160" spans="2:2" x14ac:dyDescent="0.3">
      <c r="B160" s="31"/>
    </row>
    <row r="161" spans="2:2" x14ac:dyDescent="0.3">
      <c r="B161" s="31"/>
    </row>
    <row r="162" spans="2:2" x14ac:dyDescent="0.3">
      <c r="B162" s="31"/>
    </row>
    <row r="163" spans="2:2" x14ac:dyDescent="0.3">
      <c r="B163" s="31"/>
    </row>
    <row r="164" spans="2:2" x14ac:dyDescent="0.3">
      <c r="B164" s="31"/>
    </row>
    <row r="165" spans="2:2" x14ac:dyDescent="0.3">
      <c r="B165" s="31"/>
    </row>
    <row r="166" spans="2:2" x14ac:dyDescent="0.3">
      <c r="B166" s="31"/>
    </row>
    <row r="167" spans="2:2" x14ac:dyDescent="0.3">
      <c r="B167" s="31"/>
    </row>
    <row r="168" spans="2:2" x14ac:dyDescent="0.3">
      <c r="B168" s="31"/>
    </row>
    <row r="169" spans="2:2" x14ac:dyDescent="0.3">
      <c r="B169" s="31"/>
    </row>
    <row r="170" spans="2:2" x14ac:dyDescent="0.3">
      <c r="B170" s="31"/>
    </row>
    <row r="171" spans="2:2" x14ac:dyDescent="0.3">
      <c r="B171" s="31"/>
    </row>
    <row r="172" spans="2:2" x14ac:dyDescent="0.3">
      <c r="B172" s="31"/>
    </row>
    <row r="173" spans="2:2" x14ac:dyDescent="0.3">
      <c r="B173" s="31"/>
    </row>
    <row r="174" spans="2:2" x14ac:dyDescent="0.3">
      <c r="B174" s="31"/>
    </row>
    <row r="175" spans="2:2" x14ac:dyDescent="0.3">
      <c r="B175" s="31"/>
    </row>
    <row r="176" spans="2:2" x14ac:dyDescent="0.3">
      <c r="B176" s="31"/>
    </row>
    <row r="177" spans="2:2" x14ac:dyDescent="0.3">
      <c r="B177" s="31"/>
    </row>
    <row r="178" spans="2:2" x14ac:dyDescent="0.3">
      <c r="B178" s="31"/>
    </row>
    <row r="179" spans="2:2" x14ac:dyDescent="0.3">
      <c r="B179" s="31"/>
    </row>
    <row r="180" spans="2:2" x14ac:dyDescent="0.3">
      <c r="B180" s="31"/>
    </row>
    <row r="181" spans="2:2" x14ac:dyDescent="0.3">
      <c r="B181" s="31"/>
    </row>
    <row r="182" spans="2:2" x14ac:dyDescent="0.3">
      <c r="B182" s="31"/>
    </row>
    <row r="183" spans="2:2" x14ac:dyDescent="0.3">
      <c r="B183" s="31"/>
    </row>
    <row r="184" spans="2:2" x14ac:dyDescent="0.3">
      <c r="B184" s="31"/>
    </row>
    <row r="185" spans="2:2" x14ac:dyDescent="0.3">
      <c r="B185" s="31"/>
    </row>
    <row r="186" spans="2:2" x14ac:dyDescent="0.3">
      <c r="B186" s="31"/>
    </row>
    <row r="187" spans="2:2" x14ac:dyDescent="0.3">
      <c r="B187" s="31"/>
    </row>
    <row r="188" spans="2:2" x14ac:dyDescent="0.3">
      <c r="B188" s="31"/>
    </row>
    <row r="189" spans="2:2" x14ac:dyDescent="0.3">
      <c r="B189" s="31"/>
    </row>
    <row r="190" spans="2:2" x14ac:dyDescent="0.3">
      <c r="B190" s="31"/>
    </row>
    <row r="191" spans="2:2" x14ac:dyDescent="0.3">
      <c r="B191" s="31"/>
    </row>
    <row r="192" spans="2:2" x14ac:dyDescent="0.3">
      <c r="B192" s="31"/>
    </row>
    <row r="193" spans="2:2" x14ac:dyDescent="0.3">
      <c r="B193" s="31"/>
    </row>
    <row r="194" spans="2:2" x14ac:dyDescent="0.3">
      <c r="B194" s="31"/>
    </row>
    <row r="195" spans="2:2" x14ac:dyDescent="0.3">
      <c r="B195" s="31"/>
    </row>
    <row r="196" spans="2:2" x14ac:dyDescent="0.3">
      <c r="B196" s="31"/>
    </row>
    <row r="197" spans="2:2" x14ac:dyDescent="0.3">
      <c r="B197" s="31"/>
    </row>
    <row r="198" spans="2:2" x14ac:dyDescent="0.3">
      <c r="B198" s="31"/>
    </row>
    <row r="199" spans="2:2" x14ac:dyDescent="0.3">
      <c r="B199" s="31"/>
    </row>
    <row r="200" spans="2:2" x14ac:dyDescent="0.3">
      <c r="B200" s="31"/>
    </row>
    <row r="201" spans="2:2" x14ac:dyDescent="0.3">
      <c r="B201" s="31"/>
    </row>
    <row r="202" spans="2:2" x14ac:dyDescent="0.3">
      <c r="B202" s="31"/>
    </row>
    <row r="203" spans="2:2" x14ac:dyDescent="0.3">
      <c r="B203" s="31"/>
    </row>
    <row r="204" spans="2:2" x14ac:dyDescent="0.3">
      <c r="B204" s="31"/>
    </row>
    <row r="205" spans="2:2" x14ac:dyDescent="0.3">
      <c r="B205" s="31"/>
    </row>
    <row r="206" spans="2:2" x14ac:dyDescent="0.3">
      <c r="B206" s="31"/>
    </row>
    <row r="207" spans="2:2" x14ac:dyDescent="0.3">
      <c r="B207" s="31"/>
    </row>
    <row r="208" spans="2:2" x14ac:dyDescent="0.3">
      <c r="B208" s="31"/>
    </row>
    <row r="209" spans="2:2" x14ac:dyDescent="0.3">
      <c r="B209" s="31"/>
    </row>
    <row r="210" spans="2:2" x14ac:dyDescent="0.3">
      <c r="B210" s="31"/>
    </row>
    <row r="211" spans="2:2" x14ac:dyDescent="0.3">
      <c r="B211" s="31"/>
    </row>
    <row r="212" spans="2:2" x14ac:dyDescent="0.3">
      <c r="B212" s="31"/>
    </row>
    <row r="213" spans="2:2" x14ac:dyDescent="0.3">
      <c r="B213" s="31"/>
    </row>
    <row r="214" spans="2:2" x14ac:dyDescent="0.3">
      <c r="B214" s="31"/>
    </row>
    <row r="215" spans="2:2" x14ac:dyDescent="0.3">
      <c r="B215" s="31"/>
    </row>
    <row r="216" spans="2:2" x14ac:dyDescent="0.3">
      <c r="B216" s="31"/>
    </row>
    <row r="217" spans="2:2" x14ac:dyDescent="0.3">
      <c r="B217" s="31"/>
    </row>
    <row r="218" spans="2:2" x14ac:dyDescent="0.3">
      <c r="B218" s="31"/>
    </row>
    <row r="219" spans="2:2" x14ac:dyDescent="0.3">
      <c r="B219" s="31"/>
    </row>
    <row r="220" spans="2:2" x14ac:dyDescent="0.3">
      <c r="B220" s="31"/>
    </row>
    <row r="221" spans="2:2" x14ac:dyDescent="0.3">
      <c r="B221" s="31"/>
    </row>
    <row r="222" spans="2:2" x14ac:dyDescent="0.3">
      <c r="B222" s="31"/>
    </row>
    <row r="223" spans="2:2" x14ac:dyDescent="0.3">
      <c r="B223" s="31"/>
    </row>
    <row r="224" spans="2:2" x14ac:dyDescent="0.3">
      <c r="B224" s="31"/>
    </row>
    <row r="225" spans="2:2" x14ac:dyDescent="0.3">
      <c r="B225" s="31"/>
    </row>
    <row r="226" spans="2:2" x14ac:dyDescent="0.3">
      <c r="B226" s="31"/>
    </row>
    <row r="227" spans="2:2" x14ac:dyDescent="0.3">
      <c r="B227" s="31"/>
    </row>
    <row r="228" spans="2:2" x14ac:dyDescent="0.3">
      <c r="B228" s="31"/>
    </row>
    <row r="229" spans="2:2" x14ac:dyDescent="0.3">
      <c r="B229" s="31"/>
    </row>
    <row r="230" spans="2:2" x14ac:dyDescent="0.3">
      <c r="B230" s="31"/>
    </row>
    <row r="231" spans="2:2" x14ac:dyDescent="0.3">
      <c r="B231" s="31"/>
    </row>
    <row r="232" spans="2:2" x14ac:dyDescent="0.3">
      <c r="B232" s="31"/>
    </row>
    <row r="233" spans="2:2" x14ac:dyDescent="0.3">
      <c r="B233" s="31"/>
    </row>
    <row r="234" spans="2:2" x14ac:dyDescent="0.3">
      <c r="B234" s="31"/>
    </row>
    <row r="235" spans="2:2" x14ac:dyDescent="0.3">
      <c r="B235" s="31"/>
    </row>
    <row r="236" spans="2:2" x14ac:dyDescent="0.3">
      <c r="B236" s="31"/>
    </row>
    <row r="237" spans="2:2" x14ac:dyDescent="0.3">
      <c r="B237" s="31"/>
    </row>
    <row r="238" spans="2:2" x14ac:dyDescent="0.3">
      <c r="B238" s="31"/>
    </row>
    <row r="239" spans="2:2" x14ac:dyDescent="0.3">
      <c r="B239" s="31"/>
    </row>
    <row r="240" spans="2:2" x14ac:dyDescent="0.3">
      <c r="B240" s="31"/>
    </row>
    <row r="241" spans="2:2" x14ac:dyDescent="0.3">
      <c r="B241" s="31"/>
    </row>
    <row r="242" spans="2:2" x14ac:dyDescent="0.3">
      <c r="B242" s="31"/>
    </row>
    <row r="243" spans="2:2" x14ac:dyDescent="0.3">
      <c r="B243" s="31"/>
    </row>
    <row r="244" spans="2:2" x14ac:dyDescent="0.3">
      <c r="B244" s="31"/>
    </row>
    <row r="245" spans="2:2" x14ac:dyDescent="0.3">
      <c r="B245" s="31"/>
    </row>
    <row r="246" spans="2:2" x14ac:dyDescent="0.3">
      <c r="B246" s="31"/>
    </row>
    <row r="247" spans="2:2" x14ac:dyDescent="0.3">
      <c r="B247" s="31"/>
    </row>
    <row r="248" spans="2:2" x14ac:dyDescent="0.3">
      <c r="B248" s="31"/>
    </row>
    <row r="249" spans="2:2" x14ac:dyDescent="0.3">
      <c r="B249" s="31"/>
    </row>
    <row r="250" spans="2:2" x14ac:dyDescent="0.3">
      <c r="B250" s="31"/>
    </row>
    <row r="251" spans="2:2" x14ac:dyDescent="0.3">
      <c r="B251" s="31"/>
    </row>
    <row r="252" spans="2:2" x14ac:dyDescent="0.3">
      <c r="B252" s="31"/>
    </row>
    <row r="253" spans="2:2" x14ac:dyDescent="0.3">
      <c r="B253" s="31"/>
    </row>
    <row r="254" spans="2:2" x14ac:dyDescent="0.3">
      <c r="B254" s="31"/>
    </row>
    <row r="255" spans="2:2" x14ac:dyDescent="0.3">
      <c r="B255" s="31"/>
    </row>
    <row r="256" spans="2:2" x14ac:dyDescent="0.3">
      <c r="B256" s="31"/>
    </row>
    <row r="257" spans="2:2" x14ac:dyDescent="0.3">
      <c r="B257" s="31"/>
    </row>
    <row r="258" spans="2:2" x14ac:dyDescent="0.3">
      <c r="B258" s="31"/>
    </row>
    <row r="259" spans="2:2" x14ac:dyDescent="0.3">
      <c r="B259" s="31"/>
    </row>
    <row r="260" spans="2:2" x14ac:dyDescent="0.3">
      <c r="B260" s="31"/>
    </row>
    <row r="261" spans="2:2" x14ac:dyDescent="0.3">
      <c r="B261" s="31"/>
    </row>
    <row r="262" spans="2:2" x14ac:dyDescent="0.3">
      <c r="B262" s="31"/>
    </row>
    <row r="263" spans="2:2" x14ac:dyDescent="0.3">
      <c r="B263" s="31"/>
    </row>
    <row r="264" spans="2:2" x14ac:dyDescent="0.3">
      <c r="B264" s="31"/>
    </row>
    <row r="265" spans="2:2" x14ac:dyDescent="0.3">
      <c r="B265" s="31"/>
    </row>
    <row r="266" spans="2:2" x14ac:dyDescent="0.3">
      <c r="B266" s="31"/>
    </row>
    <row r="267" spans="2:2" x14ac:dyDescent="0.3">
      <c r="B267" s="31"/>
    </row>
    <row r="268" spans="2:2" x14ac:dyDescent="0.3">
      <c r="B268" s="31"/>
    </row>
    <row r="269" spans="2:2" x14ac:dyDescent="0.3">
      <c r="B269" s="31"/>
    </row>
    <row r="270" spans="2:2" x14ac:dyDescent="0.3">
      <c r="B270" s="31"/>
    </row>
    <row r="271" spans="2:2" x14ac:dyDescent="0.3">
      <c r="B271" s="31"/>
    </row>
    <row r="272" spans="2:2" x14ac:dyDescent="0.3">
      <c r="B272" s="31"/>
    </row>
    <row r="273" spans="2:2" x14ac:dyDescent="0.3">
      <c r="B273" s="31"/>
    </row>
    <row r="274" spans="2:2" x14ac:dyDescent="0.3">
      <c r="B274" s="31"/>
    </row>
    <row r="275" spans="2:2" x14ac:dyDescent="0.3">
      <c r="B275" s="31"/>
    </row>
    <row r="276" spans="2:2" x14ac:dyDescent="0.3">
      <c r="B276" s="31"/>
    </row>
    <row r="277" spans="2:2" x14ac:dyDescent="0.3">
      <c r="B277" s="31"/>
    </row>
    <row r="278" spans="2:2" x14ac:dyDescent="0.3">
      <c r="B278" s="31"/>
    </row>
    <row r="279" spans="2:2" x14ac:dyDescent="0.3">
      <c r="B279" s="31"/>
    </row>
    <row r="280" spans="2:2" x14ac:dyDescent="0.3">
      <c r="B280" s="31"/>
    </row>
    <row r="281" spans="2:2" x14ac:dyDescent="0.3">
      <c r="B281" s="31"/>
    </row>
    <row r="282" spans="2:2" x14ac:dyDescent="0.3">
      <c r="B282" s="31"/>
    </row>
    <row r="283" spans="2:2" x14ac:dyDescent="0.3">
      <c r="B283" s="31"/>
    </row>
    <row r="284" spans="2:2" x14ac:dyDescent="0.3">
      <c r="B284" s="31"/>
    </row>
    <row r="285" spans="2:2" x14ac:dyDescent="0.3">
      <c r="B285" s="31"/>
    </row>
    <row r="286" spans="2:2" x14ac:dyDescent="0.3">
      <c r="B286" s="31"/>
    </row>
    <row r="287" spans="2:2" x14ac:dyDescent="0.3">
      <c r="B287" s="31"/>
    </row>
    <row r="288" spans="2:2" x14ac:dyDescent="0.3">
      <c r="B288" s="31"/>
    </row>
    <row r="289" spans="2:2" x14ac:dyDescent="0.3">
      <c r="B289" s="31"/>
    </row>
    <row r="290" spans="2:2" x14ac:dyDescent="0.3">
      <c r="B290" s="31"/>
    </row>
    <row r="291" spans="2:2" x14ac:dyDescent="0.3">
      <c r="B291" s="31"/>
    </row>
    <row r="292" spans="2:2" x14ac:dyDescent="0.3">
      <c r="B292" s="31"/>
    </row>
    <row r="293" spans="2:2" x14ac:dyDescent="0.3">
      <c r="B293" s="31"/>
    </row>
    <row r="294" spans="2:2" x14ac:dyDescent="0.3">
      <c r="B294" s="31"/>
    </row>
    <row r="295" spans="2:2" x14ac:dyDescent="0.3">
      <c r="B295" s="31"/>
    </row>
    <row r="296" spans="2:2" x14ac:dyDescent="0.3">
      <c r="B296" s="31"/>
    </row>
    <row r="297" spans="2:2" x14ac:dyDescent="0.3">
      <c r="B297" s="31"/>
    </row>
    <row r="298" spans="2:2" x14ac:dyDescent="0.3">
      <c r="B298" s="31"/>
    </row>
    <row r="299" spans="2:2" x14ac:dyDescent="0.3">
      <c r="B299" s="31"/>
    </row>
    <row r="300" spans="2:2" x14ac:dyDescent="0.3">
      <c r="B300" s="31"/>
    </row>
    <row r="301" spans="2:2" x14ac:dyDescent="0.3">
      <c r="B301" s="31"/>
    </row>
    <row r="302" spans="2:2" x14ac:dyDescent="0.3">
      <c r="B302" s="31"/>
    </row>
    <row r="303" spans="2:2" x14ac:dyDescent="0.3">
      <c r="B303" s="31"/>
    </row>
    <row r="304" spans="2:2" x14ac:dyDescent="0.3">
      <c r="B304" s="31"/>
    </row>
    <row r="305" spans="2:2" x14ac:dyDescent="0.3">
      <c r="B305" s="31"/>
    </row>
    <row r="306" spans="2:2" x14ac:dyDescent="0.3">
      <c r="B306" s="31"/>
    </row>
    <row r="307" spans="2:2" x14ac:dyDescent="0.3">
      <c r="B307" s="31"/>
    </row>
    <row r="308" spans="2:2" x14ac:dyDescent="0.3">
      <c r="B308" s="31"/>
    </row>
    <row r="309" spans="2:2" x14ac:dyDescent="0.3">
      <c r="B309" s="31"/>
    </row>
    <row r="310" spans="2:2" x14ac:dyDescent="0.3">
      <c r="B310" s="31"/>
    </row>
    <row r="311" spans="2:2" x14ac:dyDescent="0.3">
      <c r="B311" s="31"/>
    </row>
    <row r="312" spans="2:2" x14ac:dyDescent="0.3">
      <c r="B312" s="31"/>
    </row>
    <row r="313" spans="2:2" x14ac:dyDescent="0.3">
      <c r="B313" s="31"/>
    </row>
    <row r="314" spans="2:2" x14ac:dyDescent="0.3">
      <c r="B314" s="31"/>
    </row>
    <row r="315" spans="2:2" x14ac:dyDescent="0.3">
      <c r="B315" s="31"/>
    </row>
    <row r="316" spans="2:2" x14ac:dyDescent="0.3">
      <c r="B316" s="31"/>
    </row>
    <row r="317" spans="2:2" x14ac:dyDescent="0.3">
      <c r="B317" s="31"/>
    </row>
    <row r="318" spans="2:2" x14ac:dyDescent="0.3">
      <c r="B318" s="31"/>
    </row>
    <row r="319" spans="2:2" x14ac:dyDescent="0.3">
      <c r="B319" s="31"/>
    </row>
    <row r="320" spans="2:2" x14ac:dyDescent="0.3">
      <c r="B320" s="31"/>
    </row>
    <row r="321" spans="2:2" x14ac:dyDescent="0.3">
      <c r="B321" s="31"/>
    </row>
    <row r="322" spans="2:2" x14ac:dyDescent="0.3">
      <c r="B322" s="31"/>
    </row>
    <row r="323" spans="2:2" x14ac:dyDescent="0.3">
      <c r="B323" s="31"/>
    </row>
    <row r="324" spans="2:2" x14ac:dyDescent="0.3">
      <c r="B324" s="31"/>
    </row>
    <row r="325" spans="2:2" x14ac:dyDescent="0.3">
      <c r="B325" s="31"/>
    </row>
    <row r="326" spans="2:2" x14ac:dyDescent="0.3">
      <c r="B326" s="31"/>
    </row>
    <row r="327" spans="2:2" x14ac:dyDescent="0.3">
      <c r="B327" s="31"/>
    </row>
    <row r="328" spans="2:2" x14ac:dyDescent="0.3">
      <c r="B328" s="31"/>
    </row>
    <row r="329" spans="2:2" x14ac:dyDescent="0.3">
      <c r="B329" s="31"/>
    </row>
    <row r="330" spans="2:2" x14ac:dyDescent="0.3">
      <c r="B330" s="31"/>
    </row>
    <row r="331" spans="2:2" x14ac:dyDescent="0.3">
      <c r="B331" s="31"/>
    </row>
    <row r="332" spans="2:2" x14ac:dyDescent="0.3">
      <c r="B332" s="31"/>
    </row>
    <row r="333" spans="2:2" x14ac:dyDescent="0.3">
      <c r="B333" s="31"/>
    </row>
    <row r="334" spans="2:2" x14ac:dyDescent="0.3">
      <c r="B334" s="31"/>
    </row>
    <row r="335" spans="2:2" x14ac:dyDescent="0.3">
      <c r="B335" s="31"/>
    </row>
    <row r="336" spans="2:2" x14ac:dyDescent="0.3">
      <c r="B336" s="31"/>
    </row>
    <row r="337" spans="2:2" x14ac:dyDescent="0.3">
      <c r="B337" s="31"/>
    </row>
    <row r="338" spans="2:2" x14ac:dyDescent="0.3">
      <c r="B338" s="31"/>
    </row>
    <row r="339" spans="2:2" x14ac:dyDescent="0.3">
      <c r="B339" s="31"/>
    </row>
    <row r="340" spans="2:2" x14ac:dyDescent="0.3">
      <c r="B340" s="31"/>
    </row>
    <row r="341" spans="2:2" x14ac:dyDescent="0.3">
      <c r="B341" s="31"/>
    </row>
    <row r="342" spans="2:2" x14ac:dyDescent="0.3">
      <c r="B342" s="31"/>
    </row>
    <row r="343" spans="2:2" x14ac:dyDescent="0.3">
      <c r="B343" s="31"/>
    </row>
    <row r="344" spans="2:2" x14ac:dyDescent="0.3">
      <c r="B344" s="31"/>
    </row>
    <row r="345" spans="2:2" x14ac:dyDescent="0.3">
      <c r="B345" s="31"/>
    </row>
    <row r="346" spans="2:2" x14ac:dyDescent="0.3">
      <c r="B346" s="31"/>
    </row>
    <row r="347" spans="2:2" x14ac:dyDescent="0.3">
      <c r="B347" s="31"/>
    </row>
    <row r="348" spans="2:2" x14ac:dyDescent="0.3">
      <c r="B348" s="31"/>
    </row>
    <row r="349" spans="2:2" x14ac:dyDescent="0.3">
      <c r="B349" s="31"/>
    </row>
    <row r="350" spans="2:2" x14ac:dyDescent="0.3">
      <c r="B350" s="31"/>
    </row>
    <row r="351" spans="2:2" x14ac:dyDescent="0.3">
      <c r="B351" s="31"/>
    </row>
    <row r="352" spans="2:2" x14ac:dyDescent="0.3">
      <c r="B352" s="31"/>
    </row>
    <row r="353" spans="2:2" x14ac:dyDescent="0.3">
      <c r="B353" s="31"/>
    </row>
    <row r="354" spans="2:2" x14ac:dyDescent="0.3">
      <c r="B354" s="31"/>
    </row>
    <row r="355" spans="2:2" x14ac:dyDescent="0.3">
      <c r="B355" s="31"/>
    </row>
    <row r="356" spans="2:2" x14ac:dyDescent="0.3">
      <c r="B356" s="31"/>
    </row>
    <row r="357" spans="2:2" x14ac:dyDescent="0.3">
      <c r="B357" s="31"/>
    </row>
    <row r="358" spans="2:2" x14ac:dyDescent="0.3">
      <c r="B358" s="31"/>
    </row>
    <row r="359" spans="2:2" x14ac:dyDescent="0.3">
      <c r="B359" s="31"/>
    </row>
    <row r="360" spans="2:2" x14ac:dyDescent="0.3">
      <c r="B360" s="31"/>
    </row>
    <row r="361" spans="2:2" x14ac:dyDescent="0.3">
      <c r="B361" s="31"/>
    </row>
    <row r="362" spans="2:2" x14ac:dyDescent="0.3">
      <c r="B362" s="31"/>
    </row>
    <row r="363" spans="2:2" x14ac:dyDescent="0.3">
      <c r="B363" s="31"/>
    </row>
    <row r="364" spans="2:2" x14ac:dyDescent="0.3">
      <c r="B364" s="31"/>
    </row>
    <row r="365" spans="2:2" x14ac:dyDescent="0.3">
      <c r="B365" s="31"/>
    </row>
    <row r="366" spans="2:2" x14ac:dyDescent="0.3">
      <c r="B366" s="31"/>
    </row>
    <row r="367" spans="2:2" x14ac:dyDescent="0.3">
      <c r="B367" s="31"/>
    </row>
    <row r="368" spans="2:2" x14ac:dyDescent="0.3">
      <c r="B368" s="31"/>
    </row>
    <row r="369" spans="2:2" x14ac:dyDescent="0.3">
      <c r="B369" s="31"/>
    </row>
    <row r="370" spans="2:2" x14ac:dyDescent="0.3">
      <c r="B370" s="31"/>
    </row>
    <row r="371" spans="2:2" x14ac:dyDescent="0.3">
      <c r="B371" s="31"/>
    </row>
    <row r="372" spans="2:2" x14ac:dyDescent="0.3">
      <c r="B372" s="31"/>
    </row>
    <row r="373" spans="2:2" x14ac:dyDescent="0.3">
      <c r="B373" s="31"/>
    </row>
    <row r="374" spans="2:2" x14ac:dyDescent="0.3">
      <c r="B374" s="31"/>
    </row>
    <row r="375" spans="2:2" x14ac:dyDescent="0.3">
      <c r="B375" s="31"/>
    </row>
    <row r="376" spans="2:2" x14ac:dyDescent="0.3">
      <c r="B376" s="31"/>
    </row>
    <row r="377" spans="2:2" x14ac:dyDescent="0.3">
      <c r="B377" s="31"/>
    </row>
    <row r="378" spans="2:2" x14ac:dyDescent="0.3">
      <c r="B378" s="31"/>
    </row>
    <row r="379" spans="2:2" x14ac:dyDescent="0.3">
      <c r="B379" s="31"/>
    </row>
    <row r="380" spans="2:2" x14ac:dyDescent="0.3">
      <c r="B380" s="31"/>
    </row>
    <row r="381" spans="2:2" x14ac:dyDescent="0.3">
      <c r="B381" s="31"/>
    </row>
    <row r="382" spans="2:2" x14ac:dyDescent="0.3">
      <c r="B382" s="31"/>
    </row>
    <row r="383" spans="2:2" x14ac:dyDescent="0.3">
      <c r="B383" s="31"/>
    </row>
    <row r="384" spans="2:2" x14ac:dyDescent="0.3">
      <c r="B384" s="31"/>
    </row>
    <row r="385" spans="2:2" x14ac:dyDescent="0.3">
      <c r="B385" s="31"/>
    </row>
    <row r="386" spans="2:2" x14ac:dyDescent="0.3">
      <c r="B386" s="31"/>
    </row>
    <row r="387" spans="2:2" x14ac:dyDescent="0.3">
      <c r="B387" s="31"/>
    </row>
    <row r="388" spans="2:2" x14ac:dyDescent="0.3">
      <c r="B388" s="31"/>
    </row>
    <row r="389" spans="2:2" x14ac:dyDescent="0.3">
      <c r="B389" s="31"/>
    </row>
    <row r="390" spans="2:2" x14ac:dyDescent="0.3">
      <c r="B390" s="31"/>
    </row>
    <row r="391" spans="2:2" x14ac:dyDescent="0.3">
      <c r="B391" s="31"/>
    </row>
    <row r="392" spans="2:2" x14ac:dyDescent="0.3">
      <c r="B392" s="31"/>
    </row>
    <row r="393" spans="2:2" x14ac:dyDescent="0.3">
      <c r="B393" s="31"/>
    </row>
    <row r="394" spans="2:2" x14ac:dyDescent="0.3">
      <c r="B394" s="31"/>
    </row>
    <row r="395" spans="2:2" x14ac:dyDescent="0.3">
      <c r="B395" s="31"/>
    </row>
    <row r="396" spans="2:2" x14ac:dyDescent="0.3">
      <c r="B396" s="31"/>
    </row>
    <row r="397" spans="2:2" x14ac:dyDescent="0.3">
      <c r="B397" s="31"/>
    </row>
    <row r="398" spans="2:2" x14ac:dyDescent="0.3">
      <c r="B398" s="31"/>
    </row>
    <row r="399" spans="2:2" x14ac:dyDescent="0.3">
      <c r="B399" s="31"/>
    </row>
    <row r="400" spans="2:2" x14ac:dyDescent="0.3">
      <c r="B400" s="31"/>
    </row>
    <row r="401" spans="2:2" x14ac:dyDescent="0.3">
      <c r="B401" s="31"/>
    </row>
    <row r="402" spans="2:2" x14ac:dyDescent="0.3">
      <c r="B402" s="31"/>
    </row>
    <row r="403" spans="2:2" x14ac:dyDescent="0.3">
      <c r="B403" s="31"/>
    </row>
    <row r="404" spans="2:2" x14ac:dyDescent="0.3">
      <c r="B404" s="31"/>
    </row>
    <row r="405" spans="2:2" x14ac:dyDescent="0.3">
      <c r="B405" s="31"/>
    </row>
    <row r="406" spans="2:2" x14ac:dyDescent="0.3">
      <c r="B406" s="31"/>
    </row>
    <row r="407" spans="2:2" x14ac:dyDescent="0.3">
      <c r="B407" s="31"/>
    </row>
    <row r="408" spans="2:2" x14ac:dyDescent="0.3">
      <c r="B408" s="31"/>
    </row>
    <row r="409" spans="2:2" x14ac:dyDescent="0.3">
      <c r="B409" s="31"/>
    </row>
    <row r="410" spans="2:2" x14ac:dyDescent="0.3">
      <c r="B410" s="31"/>
    </row>
    <row r="411" spans="2:2" x14ac:dyDescent="0.3">
      <c r="B411" s="31"/>
    </row>
    <row r="412" spans="2:2" x14ac:dyDescent="0.3">
      <c r="B412" s="31"/>
    </row>
    <row r="413" spans="2:2" x14ac:dyDescent="0.3">
      <c r="B413" s="31"/>
    </row>
    <row r="414" spans="2:2" x14ac:dyDescent="0.3">
      <c r="B414" s="31"/>
    </row>
    <row r="415" spans="2:2" x14ac:dyDescent="0.3">
      <c r="B415" s="31"/>
    </row>
    <row r="416" spans="2:2" x14ac:dyDescent="0.3">
      <c r="B416" s="31"/>
    </row>
    <row r="417" spans="2:2" x14ac:dyDescent="0.3">
      <c r="B417" s="31"/>
    </row>
    <row r="418" spans="2:2" x14ac:dyDescent="0.3">
      <c r="B418" s="31"/>
    </row>
    <row r="419" spans="2:2" x14ac:dyDescent="0.3">
      <c r="B419" s="31"/>
    </row>
    <row r="420" spans="2:2" x14ac:dyDescent="0.3">
      <c r="B420" s="31"/>
    </row>
    <row r="421" spans="2:2" x14ac:dyDescent="0.3">
      <c r="B421" s="31"/>
    </row>
    <row r="422" spans="2:2" x14ac:dyDescent="0.3">
      <c r="B422" s="31"/>
    </row>
    <row r="423" spans="2:2" x14ac:dyDescent="0.3">
      <c r="B423" s="31"/>
    </row>
    <row r="424" spans="2:2" x14ac:dyDescent="0.3">
      <c r="B424" s="31"/>
    </row>
    <row r="425" spans="2:2" x14ac:dyDescent="0.3">
      <c r="B425" s="31"/>
    </row>
    <row r="426" spans="2:2" x14ac:dyDescent="0.3">
      <c r="B426" s="31"/>
    </row>
    <row r="427" spans="2:2" x14ac:dyDescent="0.3">
      <c r="B427" s="31"/>
    </row>
    <row r="428" spans="2:2" x14ac:dyDescent="0.3">
      <c r="B428" s="31"/>
    </row>
    <row r="429" spans="2:2" x14ac:dyDescent="0.3">
      <c r="B429" s="31"/>
    </row>
    <row r="430" spans="2:2" x14ac:dyDescent="0.3">
      <c r="B430" s="31"/>
    </row>
    <row r="431" spans="2:2" x14ac:dyDescent="0.3">
      <c r="B431" s="31"/>
    </row>
    <row r="432" spans="2:2" x14ac:dyDescent="0.3">
      <c r="B432" s="31"/>
    </row>
    <row r="433" spans="2:2" x14ac:dyDescent="0.3">
      <c r="B433" s="31"/>
    </row>
    <row r="434" spans="2:2" x14ac:dyDescent="0.3">
      <c r="B434" s="31"/>
    </row>
    <row r="435" spans="2:2" x14ac:dyDescent="0.3">
      <c r="B435" s="31"/>
    </row>
    <row r="436" spans="2:2" x14ac:dyDescent="0.3">
      <c r="B436" s="31"/>
    </row>
    <row r="437" spans="2:2" x14ac:dyDescent="0.3">
      <c r="B437" s="31"/>
    </row>
    <row r="438" spans="2:2" x14ac:dyDescent="0.3">
      <c r="B438" s="31"/>
    </row>
    <row r="439" spans="2:2" x14ac:dyDescent="0.3">
      <c r="B439" s="31"/>
    </row>
    <row r="440" spans="2:2" x14ac:dyDescent="0.3">
      <c r="B440" s="31"/>
    </row>
    <row r="441" spans="2:2" x14ac:dyDescent="0.3">
      <c r="B441" s="31"/>
    </row>
    <row r="442" spans="2:2" x14ac:dyDescent="0.3">
      <c r="B442" s="31"/>
    </row>
    <row r="443" spans="2:2" x14ac:dyDescent="0.3">
      <c r="B443" s="31"/>
    </row>
    <row r="444" spans="2:2" x14ac:dyDescent="0.3">
      <c r="B444" s="31"/>
    </row>
    <row r="445" spans="2:2" x14ac:dyDescent="0.3">
      <c r="B445" s="31"/>
    </row>
    <row r="446" spans="2:2" x14ac:dyDescent="0.3">
      <c r="B446" s="31"/>
    </row>
    <row r="447" spans="2:2" x14ac:dyDescent="0.3">
      <c r="B447" s="31"/>
    </row>
    <row r="448" spans="2:2" x14ac:dyDescent="0.3">
      <c r="B448" s="31"/>
    </row>
    <row r="449" spans="2:2" x14ac:dyDescent="0.3">
      <c r="B449" s="31"/>
    </row>
    <row r="450" spans="2:2" x14ac:dyDescent="0.3">
      <c r="B450" s="31"/>
    </row>
    <row r="451" spans="2:2" x14ac:dyDescent="0.3">
      <c r="B451" s="31"/>
    </row>
    <row r="452" spans="2:2" x14ac:dyDescent="0.3">
      <c r="B452" s="31"/>
    </row>
    <row r="453" spans="2:2" x14ac:dyDescent="0.3">
      <c r="B453" s="31"/>
    </row>
    <row r="454" spans="2:2" x14ac:dyDescent="0.3">
      <c r="B454" s="31"/>
    </row>
    <row r="455" spans="2:2" x14ac:dyDescent="0.3">
      <c r="B455" s="31"/>
    </row>
    <row r="456" spans="2:2" x14ac:dyDescent="0.3">
      <c r="B456" s="31"/>
    </row>
    <row r="457" spans="2:2" x14ac:dyDescent="0.3">
      <c r="B457" s="31"/>
    </row>
    <row r="458" spans="2:2" x14ac:dyDescent="0.3">
      <c r="B458" s="31"/>
    </row>
    <row r="459" spans="2:2" x14ac:dyDescent="0.3">
      <c r="B459" s="31"/>
    </row>
    <row r="460" spans="2:2" x14ac:dyDescent="0.3">
      <c r="B460" s="31"/>
    </row>
    <row r="461" spans="2:2" x14ac:dyDescent="0.3">
      <c r="B461" s="31"/>
    </row>
    <row r="462" spans="2:2" x14ac:dyDescent="0.3">
      <c r="B462" s="31"/>
    </row>
    <row r="463" spans="2:2" x14ac:dyDescent="0.3">
      <c r="B463" s="31"/>
    </row>
    <row r="464" spans="2:2" x14ac:dyDescent="0.3">
      <c r="B464" s="31"/>
    </row>
    <row r="465" spans="2:2" x14ac:dyDescent="0.3">
      <c r="B465" s="31"/>
    </row>
    <row r="466" spans="2:2" x14ac:dyDescent="0.3">
      <c r="B466" s="31"/>
    </row>
    <row r="467" spans="2:2" x14ac:dyDescent="0.3">
      <c r="B467" s="31"/>
    </row>
    <row r="468" spans="2:2" x14ac:dyDescent="0.3">
      <c r="B468" s="31"/>
    </row>
    <row r="469" spans="2:2" x14ac:dyDescent="0.3">
      <c r="B469" s="31"/>
    </row>
    <row r="470" spans="2:2" x14ac:dyDescent="0.3">
      <c r="B470" s="31"/>
    </row>
    <row r="471" spans="2:2" x14ac:dyDescent="0.3">
      <c r="B471" s="31"/>
    </row>
    <row r="472" spans="2:2" x14ac:dyDescent="0.3">
      <c r="B472" s="31"/>
    </row>
    <row r="473" spans="2:2" x14ac:dyDescent="0.3">
      <c r="B473" s="31"/>
    </row>
    <row r="474" spans="2:2" x14ac:dyDescent="0.3">
      <c r="B474" s="31"/>
    </row>
    <row r="475" spans="2:2" x14ac:dyDescent="0.3">
      <c r="B475" s="31"/>
    </row>
    <row r="476" spans="2:2" x14ac:dyDescent="0.3">
      <c r="B476" s="31"/>
    </row>
    <row r="477" spans="2:2" x14ac:dyDescent="0.3">
      <c r="B477" s="31"/>
    </row>
    <row r="478" spans="2:2" x14ac:dyDescent="0.3">
      <c r="B478" s="31"/>
    </row>
    <row r="479" spans="2:2" x14ac:dyDescent="0.3">
      <c r="B479" s="31"/>
    </row>
    <row r="480" spans="2:2" x14ac:dyDescent="0.3">
      <c r="B480" s="31"/>
    </row>
    <row r="481" spans="2:2" x14ac:dyDescent="0.3">
      <c r="B481" s="31"/>
    </row>
    <row r="482" spans="2:2" x14ac:dyDescent="0.3">
      <c r="B482" s="31"/>
    </row>
    <row r="483" spans="2:2" x14ac:dyDescent="0.3">
      <c r="B483" s="31"/>
    </row>
    <row r="484" spans="2:2" x14ac:dyDescent="0.3">
      <c r="B484" s="31"/>
    </row>
    <row r="485" spans="2:2" x14ac:dyDescent="0.3">
      <c r="B485" s="31"/>
    </row>
    <row r="486" spans="2:2" x14ac:dyDescent="0.3">
      <c r="B486" s="31"/>
    </row>
    <row r="487" spans="2:2" x14ac:dyDescent="0.3">
      <c r="B487" s="31"/>
    </row>
    <row r="488" spans="2:2" x14ac:dyDescent="0.3">
      <c r="B488" s="31"/>
    </row>
    <row r="489" spans="2:2" x14ac:dyDescent="0.3">
      <c r="B489" s="31"/>
    </row>
    <row r="490" spans="2:2" x14ac:dyDescent="0.3">
      <c r="B490" s="31"/>
    </row>
    <row r="491" spans="2:2" x14ac:dyDescent="0.3">
      <c r="B491" s="31"/>
    </row>
    <row r="492" spans="2:2" x14ac:dyDescent="0.3">
      <c r="B492" s="31"/>
    </row>
    <row r="493" spans="2:2" x14ac:dyDescent="0.3">
      <c r="B493" s="31"/>
    </row>
    <row r="494" spans="2:2" x14ac:dyDescent="0.3">
      <c r="B494" s="31"/>
    </row>
    <row r="495" spans="2:2" x14ac:dyDescent="0.3">
      <c r="B495" s="31"/>
    </row>
    <row r="496" spans="2:2" x14ac:dyDescent="0.3">
      <c r="B496" s="31"/>
    </row>
    <row r="497" spans="2:2" x14ac:dyDescent="0.3">
      <c r="B497" s="31"/>
    </row>
    <row r="498" spans="2:2" x14ac:dyDescent="0.3">
      <c r="B498" s="31"/>
    </row>
    <row r="499" spans="2:2" x14ac:dyDescent="0.3">
      <c r="B499" s="31"/>
    </row>
    <row r="500" spans="2:2" x14ac:dyDescent="0.3">
      <c r="B500" s="31"/>
    </row>
    <row r="501" spans="2:2" x14ac:dyDescent="0.3">
      <c r="B501" s="31"/>
    </row>
    <row r="502" spans="2:2" x14ac:dyDescent="0.3">
      <c r="B502" s="31"/>
    </row>
    <row r="503" spans="2:2" x14ac:dyDescent="0.3">
      <c r="B503" s="31"/>
    </row>
    <row r="504" spans="2:2" x14ac:dyDescent="0.3">
      <c r="B504" s="31"/>
    </row>
    <row r="505" spans="2:2" x14ac:dyDescent="0.3">
      <c r="B505" s="31"/>
    </row>
    <row r="506" spans="2:2" x14ac:dyDescent="0.3">
      <c r="B506" s="31"/>
    </row>
    <row r="507" spans="2:2" x14ac:dyDescent="0.3">
      <c r="B507" s="31"/>
    </row>
    <row r="508" spans="2:2" x14ac:dyDescent="0.3">
      <c r="B508" s="31"/>
    </row>
    <row r="509" spans="2:2" x14ac:dyDescent="0.3">
      <c r="B509" s="31"/>
    </row>
    <row r="510" spans="2:2" x14ac:dyDescent="0.3">
      <c r="B510" s="31"/>
    </row>
    <row r="511" spans="2:2" x14ac:dyDescent="0.3">
      <c r="B511" s="31"/>
    </row>
    <row r="512" spans="2:2" x14ac:dyDescent="0.3">
      <c r="B512" s="31"/>
    </row>
    <row r="513" spans="2:2" x14ac:dyDescent="0.3">
      <c r="B513" s="31"/>
    </row>
    <row r="514" spans="2:2" x14ac:dyDescent="0.3">
      <c r="B514" s="31"/>
    </row>
    <row r="515" spans="2:2" x14ac:dyDescent="0.3">
      <c r="B515" s="31"/>
    </row>
    <row r="516" spans="2:2" x14ac:dyDescent="0.3">
      <c r="B516" s="31"/>
    </row>
    <row r="517" spans="2:2" x14ac:dyDescent="0.3">
      <c r="B517" s="31"/>
    </row>
    <row r="518" spans="2:2" x14ac:dyDescent="0.3">
      <c r="B518" s="31"/>
    </row>
    <row r="519" spans="2:2" x14ac:dyDescent="0.3">
      <c r="B519" s="31"/>
    </row>
    <row r="520" spans="2:2" x14ac:dyDescent="0.3">
      <c r="B520" s="31"/>
    </row>
    <row r="521" spans="2:2" x14ac:dyDescent="0.3">
      <c r="B521" s="31"/>
    </row>
    <row r="522" spans="2:2" x14ac:dyDescent="0.3">
      <c r="B522" s="31"/>
    </row>
    <row r="523" spans="2:2" x14ac:dyDescent="0.3">
      <c r="B523" s="31"/>
    </row>
    <row r="524" spans="2:2" x14ac:dyDescent="0.3">
      <c r="B524" s="31"/>
    </row>
    <row r="525" spans="2:2" x14ac:dyDescent="0.3">
      <c r="B525" s="31"/>
    </row>
    <row r="526" spans="2:2" x14ac:dyDescent="0.3">
      <c r="B526" s="31"/>
    </row>
    <row r="527" spans="2:2" x14ac:dyDescent="0.3">
      <c r="B527" s="31"/>
    </row>
    <row r="528" spans="2:2" x14ac:dyDescent="0.3">
      <c r="B528" s="31"/>
    </row>
    <row r="529" spans="2:2" x14ac:dyDescent="0.3">
      <c r="B529" s="31"/>
    </row>
    <row r="530" spans="2:2" x14ac:dyDescent="0.3">
      <c r="B530" s="31"/>
    </row>
    <row r="531" spans="2:2" x14ac:dyDescent="0.3">
      <c r="B531" s="31"/>
    </row>
    <row r="532" spans="2:2" x14ac:dyDescent="0.3">
      <c r="B532" s="31"/>
    </row>
    <row r="533" spans="2:2" x14ac:dyDescent="0.3">
      <c r="B533" s="31"/>
    </row>
    <row r="534" spans="2:2" x14ac:dyDescent="0.3">
      <c r="B534" s="31"/>
    </row>
    <row r="535" spans="2:2" x14ac:dyDescent="0.3">
      <c r="B535" s="31"/>
    </row>
    <row r="536" spans="2:2" x14ac:dyDescent="0.3">
      <c r="B536" s="31"/>
    </row>
    <row r="537" spans="2:2" x14ac:dyDescent="0.3">
      <c r="B537" s="31"/>
    </row>
    <row r="538" spans="2:2" x14ac:dyDescent="0.3">
      <c r="B538" s="31"/>
    </row>
    <row r="539" spans="2:2" x14ac:dyDescent="0.3">
      <c r="B539" s="31"/>
    </row>
    <row r="540" spans="2:2" x14ac:dyDescent="0.3">
      <c r="B540" s="31"/>
    </row>
    <row r="541" spans="2:2" x14ac:dyDescent="0.3">
      <c r="B541" s="31"/>
    </row>
    <row r="542" spans="2:2" x14ac:dyDescent="0.3">
      <c r="B542" s="31"/>
    </row>
    <row r="543" spans="2:2" x14ac:dyDescent="0.3">
      <c r="B543" s="31"/>
    </row>
    <row r="544" spans="2:2" x14ac:dyDescent="0.3">
      <c r="B544" s="31"/>
    </row>
    <row r="545" spans="2:2" x14ac:dyDescent="0.3">
      <c r="B545" s="31"/>
    </row>
    <row r="546" spans="2:2" x14ac:dyDescent="0.3">
      <c r="B546" s="31"/>
    </row>
    <row r="547" spans="2:2" x14ac:dyDescent="0.3">
      <c r="B547" s="31"/>
    </row>
    <row r="548" spans="2:2" x14ac:dyDescent="0.3">
      <c r="B548" s="31"/>
    </row>
    <row r="549" spans="2:2" x14ac:dyDescent="0.3">
      <c r="B549" s="31"/>
    </row>
    <row r="550" spans="2:2" x14ac:dyDescent="0.3">
      <c r="B550" s="31"/>
    </row>
    <row r="551" spans="2:2" x14ac:dyDescent="0.3">
      <c r="B551" s="31"/>
    </row>
    <row r="552" spans="2:2" x14ac:dyDescent="0.3">
      <c r="B552" s="31"/>
    </row>
    <row r="553" spans="2:2" x14ac:dyDescent="0.3">
      <c r="B553" s="31"/>
    </row>
    <row r="554" spans="2:2" x14ac:dyDescent="0.3">
      <c r="B554" s="31"/>
    </row>
    <row r="555" spans="2:2" x14ac:dyDescent="0.3">
      <c r="B555" s="31"/>
    </row>
    <row r="556" spans="2:2" x14ac:dyDescent="0.3">
      <c r="B556" s="31"/>
    </row>
    <row r="557" spans="2:2" x14ac:dyDescent="0.3">
      <c r="B557" s="31"/>
    </row>
    <row r="558" spans="2:2" x14ac:dyDescent="0.3">
      <c r="B558" s="31"/>
    </row>
    <row r="559" spans="2:2" x14ac:dyDescent="0.3">
      <c r="B559" s="31"/>
    </row>
    <row r="560" spans="2:2" x14ac:dyDescent="0.3">
      <c r="B560" s="31"/>
    </row>
    <row r="561" spans="2:2" x14ac:dyDescent="0.3">
      <c r="B561" s="31"/>
    </row>
  </sheetData>
  <printOptions gridLines="1"/>
  <pageMargins left="0.23622047244094491" right="0.23622047244094491" top="0.74803149606299213" bottom="0.74803149606299213" header="0.31496062992125984" footer="0.31496062992125984"/>
  <pageSetup paperSize="9" scale="7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33">
    <tabColor theme="8" tint="-0.249977111117893"/>
  </sheetPr>
  <dimension ref="A1:BA563"/>
  <sheetViews>
    <sheetView workbookViewId="0">
      <selection activeCell="B1" sqref="A1:XFD2"/>
    </sheetView>
  </sheetViews>
  <sheetFormatPr baseColWidth="10" defaultRowHeight="14.4" x14ac:dyDescent="0.3"/>
  <cols>
    <col min="1" max="1" width="18.77734375" style="1" customWidth="1"/>
    <col min="2" max="2" width="8" style="1" customWidth="1"/>
    <col min="3" max="3" width="10.44140625" style="1" customWidth="1"/>
    <col min="4" max="16384" width="11.5546875" style="1"/>
  </cols>
  <sheetData>
    <row r="1" spans="1:53" s="47" customFormat="1" ht="20.399999999999999" x14ac:dyDescent="0.2">
      <c r="A1" s="378" t="s">
        <v>44</v>
      </c>
      <c r="B1" s="378" t="s">
        <v>599</v>
      </c>
      <c r="C1" s="378" t="s">
        <v>15</v>
      </c>
      <c r="D1" s="378" t="s">
        <v>60</v>
      </c>
      <c r="E1" s="378" t="s">
        <v>65</v>
      </c>
      <c r="F1" s="378" t="s">
        <v>438</v>
      </c>
      <c r="G1" s="378" t="s">
        <v>61</v>
      </c>
      <c r="H1" s="378" t="s">
        <v>601</v>
      </c>
      <c r="I1" s="378" t="s">
        <v>755</v>
      </c>
      <c r="J1" s="378"/>
      <c r="K1" s="378"/>
      <c r="L1" s="378"/>
      <c r="M1" s="378"/>
      <c r="N1" s="378"/>
      <c r="O1" s="378"/>
      <c r="P1" s="378"/>
      <c r="Q1" s="378"/>
      <c r="R1" s="75"/>
      <c r="S1" s="75"/>
    </row>
    <row r="2" spans="1:53" s="47" customFormat="1" ht="30.6" x14ac:dyDescent="0.2">
      <c r="A2" s="378" t="s">
        <v>439</v>
      </c>
      <c r="B2" s="378" t="s">
        <v>599</v>
      </c>
      <c r="C2" s="378" t="s">
        <v>15</v>
      </c>
      <c r="D2" s="378" t="s">
        <v>61</v>
      </c>
      <c r="E2" s="378" t="s">
        <v>440</v>
      </c>
      <c r="F2" s="378" t="s">
        <v>441</v>
      </c>
      <c r="G2" s="378" t="s">
        <v>442</v>
      </c>
      <c r="H2" s="378" t="s">
        <v>443</v>
      </c>
      <c r="I2" s="378" t="s">
        <v>444</v>
      </c>
      <c r="J2" s="378"/>
      <c r="K2" s="378"/>
      <c r="L2" s="378"/>
      <c r="M2" s="378"/>
      <c r="N2" s="378"/>
      <c r="O2" s="378"/>
      <c r="P2" s="378"/>
      <c r="Q2" s="378"/>
      <c r="R2" s="75"/>
      <c r="S2" s="75"/>
    </row>
    <row r="3" spans="1:53" s="47" customFormat="1" ht="30.6" x14ac:dyDescent="0.2">
      <c r="A3" s="378" t="s">
        <v>439</v>
      </c>
      <c r="B3" s="378" t="s">
        <v>600</v>
      </c>
      <c r="C3" s="378" t="s">
        <v>15</v>
      </c>
      <c r="D3" s="378" t="s">
        <v>61</v>
      </c>
      <c r="E3" s="378" t="s">
        <v>440</v>
      </c>
      <c r="F3" s="378" t="s">
        <v>441</v>
      </c>
      <c r="G3" s="378" t="s">
        <v>442</v>
      </c>
      <c r="H3" s="378" t="s">
        <v>443</v>
      </c>
      <c r="I3" s="378" t="s">
        <v>444</v>
      </c>
      <c r="J3" s="378"/>
      <c r="K3" s="378"/>
      <c r="L3" s="378"/>
      <c r="M3" s="378"/>
      <c r="N3" s="378"/>
      <c r="O3" s="378"/>
      <c r="P3" s="378"/>
      <c r="Q3" s="378"/>
      <c r="R3" s="75"/>
      <c r="S3" s="75"/>
    </row>
    <row r="4" spans="1:53" s="47" customFormat="1" ht="20.399999999999999" x14ac:dyDescent="0.2">
      <c r="A4" s="378" t="s">
        <v>11</v>
      </c>
      <c r="B4" s="378" t="s">
        <v>600</v>
      </c>
      <c r="C4" s="378" t="s">
        <v>15</v>
      </c>
      <c r="D4" s="378" t="s">
        <v>27</v>
      </c>
      <c r="E4" s="378" t="s">
        <v>91</v>
      </c>
      <c r="F4" s="378" t="s">
        <v>92</v>
      </c>
      <c r="G4" s="378" t="s">
        <v>93</v>
      </c>
      <c r="H4" s="378" t="s">
        <v>94</v>
      </c>
      <c r="I4" s="378" t="s">
        <v>95</v>
      </c>
      <c r="J4" s="378" t="s">
        <v>96</v>
      </c>
      <c r="K4" s="378" t="s">
        <v>97</v>
      </c>
      <c r="L4" s="378" t="s">
        <v>98</v>
      </c>
      <c r="M4" s="378" t="s">
        <v>73</v>
      </c>
      <c r="N4" s="378" t="s">
        <v>105</v>
      </c>
      <c r="O4" s="378" t="s">
        <v>100</v>
      </c>
      <c r="P4" s="378" t="s">
        <v>124</v>
      </c>
      <c r="Q4" s="378" t="s">
        <v>61</v>
      </c>
      <c r="R4" s="75" t="s">
        <v>62</v>
      </c>
      <c r="S4" s="75" t="s">
        <v>760</v>
      </c>
      <c r="T4" s="47" t="s">
        <v>65</v>
      </c>
      <c r="U4" s="47" t="s">
        <v>66</v>
      </c>
      <c r="V4" s="47" t="s">
        <v>67</v>
      </c>
      <c r="W4" s="47" t="s">
        <v>68</v>
      </c>
      <c r="X4" s="47" t="s">
        <v>772</v>
      </c>
      <c r="Y4" s="47" t="s">
        <v>69</v>
      </c>
      <c r="Z4" s="47" t="s">
        <v>916</v>
      </c>
      <c r="AA4" s="47" t="s">
        <v>163</v>
      </c>
      <c r="AB4" s="47" t="s">
        <v>149</v>
      </c>
      <c r="AC4" s="47" t="s">
        <v>158</v>
      </c>
      <c r="AD4" s="47" t="s">
        <v>538</v>
      </c>
      <c r="AE4" s="47" t="s">
        <v>917</v>
      </c>
      <c r="AF4" s="47" t="s">
        <v>272</v>
      </c>
      <c r="AG4" s="47" t="s">
        <v>282</v>
      </c>
      <c r="AH4" s="47" t="s">
        <v>273</v>
      </c>
      <c r="AI4" s="47" t="s">
        <v>292</v>
      </c>
      <c r="AJ4" s="47" t="s">
        <v>271</v>
      </c>
      <c r="AK4" s="47" t="s">
        <v>548</v>
      </c>
      <c r="AL4" s="47" t="s">
        <v>270</v>
      </c>
      <c r="AM4" s="47" t="s">
        <v>102</v>
      </c>
      <c r="AN4" s="47" t="s">
        <v>107</v>
      </c>
      <c r="AO4" s="47" t="s">
        <v>108</v>
      </c>
      <c r="AP4" s="47" t="s">
        <v>109</v>
      </c>
      <c r="AQ4" s="47" t="s">
        <v>111</v>
      </c>
      <c r="AR4" s="47" t="s">
        <v>110</v>
      </c>
      <c r="AS4" s="47" t="s">
        <v>104</v>
      </c>
      <c r="AT4" s="47" t="s">
        <v>112</v>
      </c>
      <c r="AU4" s="47" t="s">
        <v>106</v>
      </c>
      <c r="AV4" s="47" t="s">
        <v>411</v>
      </c>
      <c r="AW4" s="47" t="s">
        <v>103</v>
      </c>
      <c r="AX4" s="47" t="s">
        <v>99</v>
      </c>
      <c r="AY4" s="47" t="s">
        <v>415</v>
      </c>
      <c r="AZ4" s="47" t="s">
        <v>602</v>
      </c>
      <c r="BA4" s="47" t="s">
        <v>918</v>
      </c>
    </row>
    <row r="5" spans="1:53" s="47" customFormat="1" ht="20.399999999999999" x14ac:dyDescent="0.2">
      <c r="A5" s="378" t="s">
        <v>882</v>
      </c>
      <c r="B5" s="378" t="s">
        <v>600</v>
      </c>
      <c r="C5" s="378" t="s">
        <v>15</v>
      </c>
      <c r="D5" s="378" t="s">
        <v>280</v>
      </c>
      <c r="E5" s="378" t="s">
        <v>61</v>
      </c>
      <c r="F5" s="378" t="s">
        <v>62</v>
      </c>
      <c r="G5" s="378" t="s">
        <v>760</v>
      </c>
      <c r="H5" s="378" t="s">
        <v>65</v>
      </c>
      <c r="I5" s="378" t="s">
        <v>66</v>
      </c>
      <c r="J5" s="378" t="s">
        <v>67</v>
      </c>
      <c r="K5" s="378" t="s">
        <v>68</v>
      </c>
      <c r="L5" s="378" t="s">
        <v>923</v>
      </c>
      <c r="M5" s="378" t="s">
        <v>34</v>
      </c>
      <c r="N5" s="378" t="s">
        <v>602</v>
      </c>
      <c r="O5" s="378"/>
      <c r="P5" s="378"/>
      <c r="Q5" s="378"/>
      <c r="R5" s="75"/>
      <c r="S5" s="75"/>
    </row>
    <row r="6" spans="1:53" s="47" customFormat="1" ht="20.399999999999999" x14ac:dyDescent="0.2">
      <c r="A6" s="378" t="s">
        <v>59</v>
      </c>
      <c r="B6" s="378" t="s">
        <v>600</v>
      </c>
      <c r="C6" s="378" t="s">
        <v>15</v>
      </c>
      <c r="D6" s="378" t="s">
        <v>115</v>
      </c>
      <c r="E6" s="378" t="s">
        <v>170</v>
      </c>
      <c r="F6" s="378" t="s">
        <v>171</v>
      </c>
      <c r="G6" s="378" t="s">
        <v>61</v>
      </c>
      <c r="H6" s="378" t="s">
        <v>62</v>
      </c>
      <c r="I6" s="378" t="s">
        <v>760</v>
      </c>
      <c r="J6" s="378" t="s">
        <v>65</v>
      </c>
      <c r="K6" s="378" t="s">
        <v>66</v>
      </c>
      <c r="L6" s="378" t="s">
        <v>67</v>
      </c>
      <c r="M6" s="378" t="s">
        <v>68</v>
      </c>
      <c r="N6" s="378" t="s">
        <v>602</v>
      </c>
      <c r="O6" s="378"/>
      <c r="P6" s="378"/>
      <c r="Q6" s="378"/>
      <c r="R6" s="75"/>
      <c r="S6" s="75"/>
    </row>
    <row r="7" spans="1:53" s="47" customFormat="1" ht="20.399999999999999" x14ac:dyDescent="0.2">
      <c r="A7" s="378" t="s">
        <v>12</v>
      </c>
      <c r="B7" s="378" t="s">
        <v>600</v>
      </c>
      <c r="C7" s="378" t="s">
        <v>15</v>
      </c>
      <c r="D7" s="378" t="s">
        <v>38</v>
      </c>
      <c r="E7" s="378" t="s">
        <v>34</v>
      </c>
      <c r="F7" s="378" t="s">
        <v>61</v>
      </c>
      <c r="G7" s="378" t="s">
        <v>62</v>
      </c>
      <c r="H7" s="378" t="s">
        <v>760</v>
      </c>
      <c r="I7" s="378" t="s">
        <v>65</v>
      </c>
      <c r="J7" s="378" t="s">
        <v>66</v>
      </c>
      <c r="K7" s="378" t="s">
        <v>67</v>
      </c>
      <c r="L7" s="378" t="s">
        <v>68</v>
      </c>
      <c r="M7" s="378" t="s">
        <v>602</v>
      </c>
      <c r="N7" s="378"/>
      <c r="O7" s="378"/>
      <c r="P7" s="378"/>
      <c r="Q7" s="378"/>
      <c r="R7" s="75"/>
      <c r="S7" s="75"/>
    </row>
    <row r="8" spans="1:53" s="47" customFormat="1" ht="20.399999999999999" x14ac:dyDescent="0.2">
      <c r="A8" s="378" t="s">
        <v>278</v>
      </c>
      <c r="B8" s="378" t="s">
        <v>600</v>
      </c>
      <c r="C8" s="378" t="s">
        <v>15</v>
      </c>
      <c r="D8" s="378" t="s">
        <v>17</v>
      </c>
      <c r="E8" s="378" t="s">
        <v>19</v>
      </c>
      <c r="F8" s="378" t="s">
        <v>602</v>
      </c>
      <c r="G8" s="378" t="s">
        <v>61</v>
      </c>
      <c r="H8" s="378" t="s">
        <v>62</v>
      </c>
      <c r="I8" s="378" t="s">
        <v>760</v>
      </c>
      <c r="J8" s="378" t="s">
        <v>65</v>
      </c>
      <c r="K8" s="378" t="s">
        <v>66</v>
      </c>
      <c r="L8" s="378" t="s">
        <v>67</v>
      </c>
      <c r="M8" s="378" t="s">
        <v>68</v>
      </c>
      <c r="N8" s="378"/>
      <c r="O8" s="378"/>
      <c r="P8" s="378"/>
      <c r="Q8" s="378"/>
      <c r="R8" s="75"/>
      <c r="S8" s="75"/>
    </row>
    <row r="9" spans="1:53" s="47" customFormat="1" ht="20.399999999999999" x14ac:dyDescent="0.2">
      <c r="A9" s="378" t="s">
        <v>751</v>
      </c>
      <c r="B9" s="378" t="s">
        <v>600</v>
      </c>
      <c r="C9" s="378" t="s">
        <v>15</v>
      </c>
      <c r="D9" s="378" t="s">
        <v>118</v>
      </c>
      <c r="E9" s="378" t="s">
        <v>799</v>
      </c>
      <c r="F9" s="378"/>
      <c r="G9" s="378"/>
      <c r="H9" s="378"/>
      <c r="I9" s="378"/>
      <c r="J9" s="378"/>
      <c r="K9" s="378"/>
      <c r="L9" s="378"/>
      <c r="M9" s="378"/>
      <c r="N9" s="378"/>
      <c r="O9" s="378"/>
      <c r="P9" s="378"/>
      <c r="Q9" s="378"/>
      <c r="R9" s="75"/>
      <c r="S9" s="75"/>
    </row>
    <row r="10" spans="1:53" s="47" customFormat="1" ht="20.399999999999999" x14ac:dyDescent="0.2">
      <c r="A10" s="378" t="s">
        <v>13</v>
      </c>
      <c r="B10" s="378" t="s">
        <v>600</v>
      </c>
      <c r="C10" s="378" t="s">
        <v>15</v>
      </c>
      <c r="D10" s="378" t="s">
        <v>38</v>
      </c>
      <c r="E10" s="378" t="s">
        <v>61</v>
      </c>
      <c r="F10" s="378" t="s">
        <v>62</v>
      </c>
      <c r="G10" s="378" t="s">
        <v>760</v>
      </c>
      <c r="H10" s="378" t="s">
        <v>65</v>
      </c>
      <c r="I10" s="378" t="s">
        <v>66</v>
      </c>
      <c r="J10" s="378" t="s">
        <v>67</v>
      </c>
      <c r="K10" s="378" t="s">
        <v>68</v>
      </c>
      <c r="L10" s="378" t="s">
        <v>32</v>
      </c>
      <c r="M10" s="378" t="s">
        <v>602</v>
      </c>
      <c r="N10" s="378"/>
      <c r="O10" s="378"/>
      <c r="P10" s="378"/>
      <c r="Q10" s="378"/>
      <c r="R10" s="75"/>
      <c r="S10" s="75"/>
    </row>
    <row r="11" spans="1:53" s="47" customFormat="1" ht="20.399999999999999" x14ac:dyDescent="0.2">
      <c r="A11" s="378" t="s">
        <v>8</v>
      </c>
      <c r="B11" s="378" t="s">
        <v>600</v>
      </c>
      <c r="C11" s="378" t="s">
        <v>15</v>
      </c>
      <c r="D11" s="378" t="s">
        <v>61</v>
      </c>
      <c r="E11" s="378" t="s">
        <v>62</v>
      </c>
      <c r="F11" s="378" t="s">
        <v>760</v>
      </c>
      <c r="G11" s="378" t="s">
        <v>65</v>
      </c>
      <c r="H11" s="378" t="s">
        <v>66</v>
      </c>
      <c r="I11" s="378" t="s">
        <v>67</v>
      </c>
      <c r="J11" s="378" t="s">
        <v>68</v>
      </c>
      <c r="K11" s="378" t="s">
        <v>602</v>
      </c>
      <c r="L11" s="378" t="s">
        <v>32</v>
      </c>
      <c r="M11" s="378" t="s">
        <v>34</v>
      </c>
      <c r="N11" s="378"/>
      <c r="O11" s="378"/>
      <c r="P11" s="378"/>
      <c r="Q11" s="378"/>
      <c r="R11" s="75"/>
      <c r="S11" s="75"/>
    </row>
    <row r="12" spans="1:53" s="47" customFormat="1" ht="20.399999999999999" x14ac:dyDescent="0.2">
      <c r="A12" s="379" t="s">
        <v>7</v>
      </c>
      <c r="B12" s="378" t="s">
        <v>600</v>
      </c>
      <c r="C12" s="378" t="s">
        <v>15</v>
      </c>
      <c r="D12" s="378" t="s">
        <v>61</v>
      </c>
      <c r="E12" s="378" t="s">
        <v>62</v>
      </c>
      <c r="F12" s="378" t="s">
        <v>760</v>
      </c>
      <c r="G12" s="378" t="s">
        <v>65</v>
      </c>
      <c r="H12" s="378" t="s">
        <v>66</v>
      </c>
      <c r="I12" s="378" t="s">
        <v>67</v>
      </c>
      <c r="J12" s="378" t="s">
        <v>68</v>
      </c>
      <c r="K12" s="378" t="s">
        <v>602</v>
      </c>
      <c r="L12" s="378" t="s">
        <v>32</v>
      </c>
      <c r="M12" s="378" t="s">
        <v>33</v>
      </c>
      <c r="N12" s="378"/>
      <c r="O12" s="378"/>
      <c r="P12" s="378"/>
      <c r="Q12" s="380"/>
      <c r="R12" s="75"/>
      <c r="S12" s="75"/>
    </row>
    <row r="13" spans="1:53" s="47" customFormat="1" ht="20.399999999999999" x14ac:dyDescent="0.2">
      <c r="A13" s="378" t="s">
        <v>871</v>
      </c>
      <c r="B13" s="378" t="s">
        <v>600</v>
      </c>
      <c r="C13" s="378" t="s">
        <v>15</v>
      </c>
      <c r="D13" s="378" t="s">
        <v>61</v>
      </c>
      <c r="E13" s="378" t="s">
        <v>62</v>
      </c>
      <c r="F13" s="378" t="s">
        <v>68</v>
      </c>
      <c r="G13" s="378" t="s">
        <v>760</v>
      </c>
      <c r="H13" s="378" t="s">
        <v>65</v>
      </c>
      <c r="I13" s="378" t="s">
        <v>66</v>
      </c>
      <c r="J13" s="378" t="s">
        <v>67</v>
      </c>
      <c r="K13" s="378" t="s">
        <v>602</v>
      </c>
      <c r="L13" s="378" t="s">
        <v>32</v>
      </c>
      <c r="M13" s="378" t="s">
        <v>918</v>
      </c>
      <c r="N13" s="378"/>
      <c r="O13" s="378"/>
      <c r="P13" s="378"/>
      <c r="Q13" s="378"/>
      <c r="R13" s="75"/>
      <c r="S13" s="75"/>
    </row>
    <row r="14" spans="1:53" s="47" customFormat="1" ht="20.399999999999999" x14ac:dyDescent="0.2">
      <c r="A14" s="72" t="s">
        <v>425</v>
      </c>
      <c r="B14" s="45" t="s">
        <v>600</v>
      </c>
      <c r="C14" s="73" t="s">
        <v>15</v>
      </c>
      <c r="D14" s="73" t="s">
        <v>32</v>
      </c>
      <c r="E14" s="73" t="s">
        <v>417</v>
      </c>
      <c r="F14" s="73" t="s">
        <v>61</v>
      </c>
      <c r="G14" s="73" t="s">
        <v>62</v>
      </c>
      <c r="H14" s="73" t="s">
        <v>760</v>
      </c>
      <c r="I14" s="73" t="s">
        <v>65</v>
      </c>
      <c r="J14" s="73" t="s">
        <v>66</v>
      </c>
      <c r="K14" s="73" t="s">
        <v>67</v>
      </c>
      <c r="L14" s="73" t="s">
        <v>68</v>
      </c>
      <c r="M14" s="73" t="s">
        <v>602</v>
      </c>
      <c r="N14" s="73"/>
      <c r="O14" s="73"/>
      <c r="P14" s="73"/>
      <c r="Q14" s="71"/>
    </row>
    <row r="15" spans="1:53" s="47" customFormat="1" ht="30.6" x14ac:dyDescent="0.2">
      <c r="A15" s="378" t="s">
        <v>949</v>
      </c>
      <c r="B15" s="378" t="s">
        <v>600</v>
      </c>
      <c r="C15" s="378" t="s">
        <v>15</v>
      </c>
      <c r="D15" s="378" t="s">
        <v>61</v>
      </c>
      <c r="E15" s="378" t="s">
        <v>62</v>
      </c>
      <c r="F15" s="378" t="s">
        <v>760</v>
      </c>
      <c r="G15" s="378" t="s">
        <v>65</v>
      </c>
      <c r="H15" s="378" t="s">
        <v>66</v>
      </c>
      <c r="I15" s="378" t="s">
        <v>67</v>
      </c>
      <c r="J15" s="378" t="s">
        <v>68</v>
      </c>
      <c r="K15" s="378" t="s">
        <v>602</v>
      </c>
      <c r="L15" s="378" t="s">
        <v>950</v>
      </c>
      <c r="M15" s="378" t="s">
        <v>32</v>
      </c>
      <c r="N15" s="378" t="s">
        <v>444</v>
      </c>
      <c r="O15" s="378" t="s">
        <v>558</v>
      </c>
      <c r="P15" s="378" t="s">
        <v>38</v>
      </c>
      <c r="Q15" s="378" t="s">
        <v>543</v>
      </c>
      <c r="R15" s="75" t="s">
        <v>546</v>
      </c>
      <c r="S15" s="75" t="s">
        <v>545</v>
      </c>
      <c r="T15" s="47" t="s">
        <v>417</v>
      </c>
      <c r="U15" s="47" t="s">
        <v>416</v>
      </c>
      <c r="V15" s="47" t="s">
        <v>40</v>
      </c>
    </row>
    <row r="16" spans="1:53" s="47" customFormat="1" ht="20.399999999999999" x14ac:dyDescent="0.2">
      <c r="A16" s="378" t="s">
        <v>52</v>
      </c>
      <c r="B16" s="378" t="s">
        <v>600</v>
      </c>
      <c r="C16" s="378" t="s">
        <v>15</v>
      </c>
      <c r="D16" s="378" t="s">
        <v>115</v>
      </c>
      <c r="E16" s="378" t="s">
        <v>16</v>
      </c>
      <c r="F16" s="378" t="s">
        <v>22</v>
      </c>
      <c r="G16" s="378" t="s">
        <v>61</v>
      </c>
      <c r="H16" s="378" t="s">
        <v>62</v>
      </c>
      <c r="I16" s="378" t="s">
        <v>760</v>
      </c>
      <c r="J16" s="378" t="s">
        <v>65</v>
      </c>
      <c r="K16" s="378" t="s">
        <v>66</v>
      </c>
      <c r="L16" s="378" t="s">
        <v>67</v>
      </c>
      <c r="M16" s="378" t="s">
        <v>68</v>
      </c>
      <c r="N16" s="378" t="s">
        <v>602</v>
      </c>
      <c r="O16" s="378"/>
      <c r="P16" s="378"/>
      <c r="Q16" s="378"/>
      <c r="R16" s="75"/>
      <c r="S16" s="75"/>
    </row>
    <row r="17" spans="1:50" s="47" customFormat="1" ht="20.399999999999999" x14ac:dyDescent="0.2">
      <c r="A17" s="378" t="s">
        <v>561</v>
      </c>
      <c r="B17" s="378" t="s">
        <v>600</v>
      </c>
      <c r="C17" s="378" t="s">
        <v>15</v>
      </c>
      <c r="D17" s="378" t="s">
        <v>17</v>
      </c>
      <c r="E17" s="378" t="s">
        <v>99</v>
      </c>
      <c r="F17" s="378" t="s">
        <v>61</v>
      </c>
      <c r="G17" s="378" t="s">
        <v>62</v>
      </c>
      <c r="H17" s="378" t="s">
        <v>760</v>
      </c>
      <c r="I17" s="378" t="s">
        <v>65</v>
      </c>
      <c r="J17" s="378" t="s">
        <v>66</v>
      </c>
      <c r="K17" s="378" t="s">
        <v>67</v>
      </c>
      <c r="L17" s="378" t="s">
        <v>68</v>
      </c>
      <c r="M17" s="378" t="s">
        <v>602</v>
      </c>
      <c r="N17" s="378"/>
      <c r="O17" s="378"/>
      <c r="P17" s="378"/>
      <c r="Q17" s="378"/>
      <c r="R17" s="75"/>
      <c r="S17" s="75"/>
    </row>
    <row r="18" spans="1:50" s="47" customFormat="1" ht="20.399999999999999" x14ac:dyDescent="0.2">
      <c r="A18" s="378" t="s">
        <v>56</v>
      </c>
      <c r="B18" s="378" t="s">
        <v>600</v>
      </c>
      <c r="C18" s="378" t="s">
        <v>15</v>
      </c>
      <c r="D18" s="378" t="s">
        <v>115</v>
      </c>
      <c r="E18" s="378" t="s">
        <v>169</v>
      </c>
      <c r="F18" s="378" t="s">
        <v>34</v>
      </c>
      <c r="G18" s="378" t="s">
        <v>61</v>
      </c>
      <c r="H18" s="378" t="s">
        <v>62</v>
      </c>
      <c r="I18" s="378" t="s">
        <v>760</v>
      </c>
      <c r="J18" s="378" t="s">
        <v>65</v>
      </c>
      <c r="K18" s="378" t="s">
        <v>66</v>
      </c>
      <c r="L18" s="378" t="s">
        <v>67</v>
      </c>
      <c r="M18" s="378" t="s">
        <v>68</v>
      </c>
      <c r="N18" s="378" t="s">
        <v>602</v>
      </c>
      <c r="O18" s="378"/>
      <c r="P18" s="378"/>
      <c r="Q18" s="378"/>
      <c r="R18" s="75"/>
      <c r="S18" s="75"/>
    </row>
    <row r="19" spans="1:50" s="47" customFormat="1" ht="20.399999999999999" x14ac:dyDescent="0.2">
      <c r="A19" s="378" t="s">
        <v>55</v>
      </c>
      <c r="B19" s="378" t="s">
        <v>600</v>
      </c>
      <c r="C19" s="378" t="s">
        <v>15</v>
      </c>
      <c r="D19" s="378" t="s">
        <v>115</v>
      </c>
      <c r="E19" s="378" t="s">
        <v>169</v>
      </c>
      <c r="F19" s="378" t="s">
        <v>32</v>
      </c>
      <c r="G19" s="378" t="s">
        <v>61</v>
      </c>
      <c r="H19" s="378" t="s">
        <v>62</v>
      </c>
      <c r="I19" s="378" t="s">
        <v>760</v>
      </c>
      <c r="J19" s="378" t="s">
        <v>65</v>
      </c>
      <c r="K19" s="378" t="s">
        <v>66</v>
      </c>
      <c r="L19" s="378" t="s">
        <v>67</v>
      </c>
      <c r="M19" s="378" t="s">
        <v>68</v>
      </c>
      <c r="N19" s="378" t="s">
        <v>602</v>
      </c>
      <c r="O19" s="378"/>
      <c r="P19" s="378"/>
      <c r="Q19" s="378"/>
      <c r="R19" s="75"/>
      <c r="S19" s="75"/>
    </row>
    <row r="20" spans="1:50" s="47" customFormat="1" ht="20.399999999999999" x14ac:dyDescent="0.2">
      <c r="A20" s="378" t="s">
        <v>58</v>
      </c>
      <c r="B20" s="378" t="s">
        <v>600</v>
      </c>
      <c r="C20" s="378" t="s">
        <v>15</v>
      </c>
      <c r="D20" s="378" t="s">
        <v>115</v>
      </c>
      <c r="E20" s="378" t="s">
        <v>168</v>
      </c>
      <c r="F20" s="378" t="s">
        <v>32</v>
      </c>
      <c r="G20" s="378" t="s">
        <v>61</v>
      </c>
      <c r="H20" s="378" t="s">
        <v>62</v>
      </c>
      <c r="I20" s="378" t="s">
        <v>760</v>
      </c>
      <c r="J20" s="378" t="s">
        <v>65</v>
      </c>
      <c r="K20" s="378" t="s">
        <v>66</v>
      </c>
      <c r="L20" s="378" t="s">
        <v>67</v>
      </c>
      <c r="M20" s="378" t="s">
        <v>68</v>
      </c>
      <c r="N20" s="378" t="s">
        <v>602</v>
      </c>
      <c r="O20" s="378"/>
      <c r="P20" s="378"/>
      <c r="Q20" s="378"/>
      <c r="R20" s="75"/>
      <c r="S20" s="75"/>
    </row>
    <row r="21" spans="1:50" s="47" customFormat="1" ht="20.399999999999999" x14ac:dyDescent="0.2">
      <c r="A21" s="378" t="s">
        <v>57</v>
      </c>
      <c r="B21" s="378" t="s">
        <v>600</v>
      </c>
      <c r="C21" s="378" t="s">
        <v>15</v>
      </c>
      <c r="D21" s="378" t="s">
        <v>115</v>
      </c>
      <c r="E21" s="378" t="s">
        <v>168</v>
      </c>
      <c r="F21" s="378" t="s">
        <v>34</v>
      </c>
      <c r="G21" s="378" t="s">
        <v>61</v>
      </c>
      <c r="H21" s="378" t="s">
        <v>62</v>
      </c>
      <c r="I21" s="378" t="s">
        <v>760</v>
      </c>
      <c r="J21" s="378" t="s">
        <v>65</v>
      </c>
      <c r="K21" s="378" t="s">
        <v>66</v>
      </c>
      <c r="L21" s="378" t="s">
        <v>67</v>
      </c>
      <c r="M21" s="378" t="s">
        <v>68</v>
      </c>
      <c r="N21" s="378" t="s">
        <v>602</v>
      </c>
      <c r="O21" s="378"/>
      <c r="P21" s="378"/>
      <c r="Q21" s="378"/>
      <c r="R21" s="75"/>
      <c r="S21" s="75"/>
    </row>
    <row r="22" spans="1:50" s="47" customFormat="1" ht="20.399999999999999" x14ac:dyDescent="0.2">
      <c r="A22" s="378" t="s">
        <v>424</v>
      </c>
      <c r="B22" s="378" t="s">
        <v>600</v>
      </c>
      <c r="C22" s="378" t="s">
        <v>15</v>
      </c>
      <c r="D22" s="378" t="s">
        <v>34</v>
      </c>
      <c r="E22" s="378" t="s">
        <v>417</v>
      </c>
      <c r="F22" s="378" t="s">
        <v>61</v>
      </c>
      <c r="G22" s="378" t="s">
        <v>62</v>
      </c>
      <c r="H22" s="378" t="s">
        <v>760</v>
      </c>
      <c r="I22" s="378" t="s">
        <v>65</v>
      </c>
      <c r="J22" s="378" t="s">
        <v>66</v>
      </c>
      <c r="K22" s="378" t="s">
        <v>67</v>
      </c>
      <c r="L22" s="378" t="s">
        <v>68</v>
      </c>
      <c r="M22" s="378" t="s">
        <v>602</v>
      </c>
      <c r="N22" s="378"/>
      <c r="O22" s="378"/>
      <c r="P22" s="378"/>
      <c r="Q22" s="378"/>
      <c r="R22" s="75"/>
      <c r="S22" s="75"/>
    </row>
    <row r="23" spans="1:50" s="47" customFormat="1" ht="20.399999999999999" x14ac:dyDescent="0.2">
      <c r="A23" s="379" t="s">
        <v>3</v>
      </c>
      <c r="B23" s="378" t="s">
        <v>600</v>
      </c>
      <c r="C23" s="378" t="s">
        <v>15</v>
      </c>
      <c r="D23" s="378" t="s">
        <v>27</v>
      </c>
      <c r="E23" s="378" t="s">
        <v>95</v>
      </c>
      <c r="F23" s="378" t="s">
        <v>73</v>
      </c>
      <c r="G23" s="378" t="s">
        <v>113</v>
      </c>
      <c r="H23" s="378" t="s">
        <v>17</v>
      </c>
      <c r="I23" s="378" t="s">
        <v>549</v>
      </c>
      <c r="J23" s="378" t="s">
        <v>550</v>
      </c>
      <c r="K23" s="378" t="s">
        <v>551</v>
      </c>
      <c r="L23" s="378" t="s">
        <v>552</v>
      </c>
      <c r="M23" s="378" t="s">
        <v>553</v>
      </c>
      <c r="N23" s="378" t="s">
        <v>72</v>
      </c>
      <c r="O23" s="378" t="s">
        <v>85</v>
      </c>
      <c r="P23" s="378" t="s">
        <v>61</v>
      </c>
      <c r="Q23" s="380" t="s">
        <v>62</v>
      </c>
      <c r="R23" s="75" t="s">
        <v>760</v>
      </c>
      <c r="S23" s="75" t="s">
        <v>65</v>
      </c>
      <c r="T23" s="47" t="s">
        <v>66</v>
      </c>
      <c r="U23" s="47" t="s">
        <v>67</v>
      </c>
      <c r="V23" s="47" t="s">
        <v>68</v>
      </c>
      <c r="W23" s="47" t="s">
        <v>554</v>
      </c>
      <c r="X23" s="47" t="s">
        <v>773</v>
      </c>
      <c r="Y23" s="47" t="s">
        <v>774</v>
      </c>
      <c r="Z23" s="47" t="s">
        <v>775</v>
      </c>
      <c r="AA23" s="47" t="s">
        <v>284</v>
      </c>
      <c r="AB23" s="47" t="s">
        <v>274</v>
      </c>
      <c r="AC23" s="47" t="s">
        <v>285</v>
      </c>
      <c r="AD23" s="47" t="s">
        <v>275</v>
      </c>
      <c r="AE23" s="47" t="s">
        <v>555</v>
      </c>
      <c r="AF23" s="47" t="s">
        <v>556</v>
      </c>
      <c r="AG23" s="47" t="s">
        <v>776</v>
      </c>
      <c r="AH23" s="47" t="s">
        <v>777</v>
      </c>
      <c r="AI23" s="47" t="s">
        <v>778</v>
      </c>
      <c r="AJ23" s="47" t="s">
        <v>557</v>
      </c>
      <c r="AK23" s="47" t="s">
        <v>779</v>
      </c>
      <c r="AL23" s="47" t="s">
        <v>780</v>
      </c>
      <c r="AM23" s="47" t="s">
        <v>781</v>
      </c>
      <c r="AN23" s="47" t="s">
        <v>782</v>
      </c>
      <c r="AO23" s="47" t="s">
        <v>783</v>
      </c>
      <c r="AP23" s="47" t="s">
        <v>784</v>
      </c>
      <c r="AQ23" s="47" t="s">
        <v>785</v>
      </c>
      <c r="AR23" s="47" t="s">
        <v>786</v>
      </c>
      <c r="AS23" s="47" t="s">
        <v>787</v>
      </c>
      <c r="AT23" s="47" t="s">
        <v>771</v>
      </c>
      <c r="AU23" s="47" t="s">
        <v>558</v>
      </c>
      <c r="AV23" s="47" t="s">
        <v>602</v>
      </c>
      <c r="AW23" s="47" t="s">
        <v>919</v>
      </c>
      <c r="AX23" s="47" t="s">
        <v>920</v>
      </c>
    </row>
    <row r="24" spans="1:50" s="47" customFormat="1" ht="20.399999999999999" x14ac:dyDescent="0.2">
      <c r="A24" s="378" t="s">
        <v>409</v>
      </c>
      <c r="B24" s="378" t="s">
        <v>600</v>
      </c>
      <c r="C24" s="378" t="s">
        <v>15</v>
      </c>
      <c r="D24" s="378" t="s">
        <v>27</v>
      </c>
      <c r="E24" s="378" t="s">
        <v>120</v>
      </c>
      <c r="F24" s="378" t="s">
        <v>121</v>
      </c>
      <c r="G24" s="378" t="s">
        <v>122</v>
      </c>
      <c r="H24" s="378" t="s">
        <v>279</v>
      </c>
      <c r="I24" s="378" t="s">
        <v>280</v>
      </c>
      <c r="J24" s="378" t="s">
        <v>126</v>
      </c>
      <c r="K24" s="378" t="s">
        <v>545</v>
      </c>
      <c r="L24" s="378" t="s">
        <v>61</v>
      </c>
      <c r="M24" s="378" t="s">
        <v>62</v>
      </c>
      <c r="N24" s="378" t="s">
        <v>760</v>
      </c>
      <c r="O24" s="378" t="s">
        <v>65</v>
      </c>
      <c r="P24" s="378" t="s">
        <v>66</v>
      </c>
      <c r="Q24" s="378" t="s">
        <v>67</v>
      </c>
      <c r="R24" s="75" t="s">
        <v>68</v>
      </c>
      <c r="S24" s="75" t="s">
        <v>602</v>
      </c>
    </row>
    <row r="25" spans="1:50" s="47" customFormat="1" ht="20.399999999999999" x14ac:dyDescent="0.2">
      <c r="A25" s="378" t="s">
        <v>44</v>
      </c>
      <c r="B25" s="378" t="s">
        <v>600</v>
      </c>
      <c r="C25" s="378" t="s">
        <v>15</v>
      </c>
      <c r="D25" s="378" t="s">
        <v>60</v>
      </c>
      <c r="E25" s="378" t="s">
        <v>65</v>
      </c>
      <c r="F25" s="378" t="s">
        <v>438</v>
      </c>
      <c r="G25" s="378" t="s">
        <v>61</v>
      </c>
      <c r="H25" s="378" t="s">
        <v>601</v>
      </c>
      <c r="I25" s="378" t="s">
        <v>755</v>
      </c>
      <c r="J25" s="378"/>
      <c r="K25" s="378"/>
      <c r="L25" s="378"/>
      <c r="M25" s="378"/>
      <c r="N25" s="378"/>
      <c r="O25" s="378"/>
      <c r="P25" s="378"/>
      <c r="Q25" s="378"/>
      <c r="R25" s="75"/>
      <c r="S25" s="75"/>
    </row>
    <row r="26" spans="1:50" s="47" customFormat="1" ht="20.399999999999999" x14ac:dyDescent="0.2">
      <c r="A26" s="378" t="s">
        <v>562</v>
      </c>
      <c r="B26" s="378" t="s">
        <v>600</v>
      </c>
      <c r="C26" s="378" t="s">
        <v>15</v>
      </c>
      <c r="D26" s="378" t="s">
        <v>563</v>
      </c>
      <c r="E26" s="378" t="s">
        <v>522</v>
      </c>
      <c r="F26" s="378" t="s">
        <v>61</v>
      </c>
      <c r="G26" s="378" t="s">
        <v>67</v>
      </c>
      <c r="H26" s="378"/>
      <c r="I26" s="378"/>
      <c r="J26" s="378"/>
      <c r="K26" s="378"/>
      <c r="L26" s="378"/>
      <c r="M26" s="378"/>
      <c r="N26" s="378"/>
      <c r="O26" s="378"/>
      <c r="P26" s="378"/>
      <c r="Q26" s="378"/>
      <c r="R26" s="75"/>
      <c r="S26" s="75"/>
    </row>
    <row r="27" spans="1:50" s="47" customFormat="1" ht="30.6" x14ac:dyDescent="0.2">
      <c r="A27" s="378" t="s">
        <v>4</v>
      </c>
      <c r="B27" s="378" t="s">
        <v>600</v>
      </c>
      <c r="C27" s="378" t="s">
        <v>15</v>
      </c>
      <c r="D27" s="378" t="s">
        <v>27</v>
      </c>
      <c r="E27" s="378" t="s">
        <v>91</v>
      </c>
      <c r="F27" s="378" t="s">
        <v>116</v>
      </c>
      <c r="G27" s="378" t="s">
        <v>117</v>
      </c>
      <c r="H27" s="378" t="s">
        <v>85</v>
      </c>
      <c r="I27" s="378" t="s">
        <v>119</v>
      </c>
      <c r="J27" s="378" t="s">
        <v>276</v>
      </c>
      <c r="K27" s="378" t="s">
        <v>416</v>
      </c>
      <c r="L27" s="378" t="s">
        <v>417</v>
      </c>
      <c r="M27" s="378" t="s">
        <v>61</v>
      </c>
      <c r="N27" s="378" t="s">
        <v>62</v>
      </c>
      <c r="O27" s="378" t="s">
        <v>763</v>
      </c>
      <c r="P27" s="378" t="s">
        <v>65</v>
      </c>
      <c r="Q27" s="378" t="s">
        <v>66</v>
      </c>
      <c r="R27" s="75" t="s">
        <v>67</v>
      </c>
      <c r="S27" s="75" t="s">
        <v>68</v>
      </c>
      <c r="T27" s="47" t="s">
        <v>542</v>
      </c>
      <c r="U27" s="47" t="s">
        <v>543</v>
      </c>
      <c r="V27" s="47" t="s">
        <v>765</v>
      </c>
      <c r="W27" s="47" t="s">
        <v>766</v>
      </c>
      <c r="X27" s="47" t="s">
        <v>544</v>
      </c>
      <c r="Y27" s="47" t="s">
        <v>767</v>
      </c>
      <c r="Z27" s="47" t="s">
        <v>768</v>
      </c>
      <c r="AA27" s="47" t="s">
        <v>769</v>
      </c>
      <c r="AB27" s="47" t="s">
        <v>770</v>
      </c>
      <c r="AC27" s="47" t="s">
        <v>545</v>
      </c>
      <c r="AD27" s="47" t="s">
        <v>38</v>
      </c>
      <c r="AE27" s="47" t="s">
        <v>546</v>
      </c>
      <c r="AF27" s="47" t="s">
        <v>73</v>
      </c>
      <c r="AG27" s="47" t="s">
        <v>95</v>
      </c>
      <c r="AH27" s="47" t="s">
        <v>771</v>
      </c>
      <c r="AI27" s="47" t="s">
        <v>602</v>
      </c>
    </row>
    <row r="28" spans="1:50" s="47" customFormat="1" ht="20.399999999999999" x14ac:dyDescent="0.2">
      <c r="A28" s="378" t="s">
        <v>10</v>
      </c>
      <c r="B28" s="378" t="s">
        <v>600</v>
      </c>
      <c r="C28" s="378" t="s">
        <v>15</v>
      </c>
      <c r="D28" s="378" t="s">
        <v>149</v>
      </c>
      <c r="E28" s="378" t="s">
        <v>150</v>
      </c>
      <c r="F28" s="378" t="s">
        <v>151</v>
      </c>
      <c r="G28" s="378" t="s">
        <v>152</v>
      </c>
      <c r="H28" s="378" t="s">
        <v>116</v>
      </c>
      <c r="I28" s="378" t="s">
        <v>153</v>
      </c>
      <c r="J28" s="378" t="s">
        <v>154</v>
      </c>
      <c r="K28" s="378" t="s">
        <v>559</v>
      </c>
      <c r="L28" s="378" t="s">
        <v>560</v>
      </c>
      <c r="M28" s="378" t="s">
        <v>61</v>
      </c>
      <c r="N28" s="378" t="s">
        <v>62</v>
      </c>
      <c r="O28" s="378" t="s">
        <v>760</v>
      </c>
      <c r="P28" s="378" t="s">
        <v>65</v>
      </c>
      <c r="Q28" s="378" t="s">
        <v>66</v>
      </c>
      <c r="R28" s="75" t="s">
        <v>67</v>
      </c>
      <c r="S28" s="75" t="s">
        <v>68</v>
      </c>
      <c r="T28" s="47" t="s">
        <v>602</v>
      </c>
      <c r="U28" s="47" t="s">
        <v>36</v>
      </c>
    </row>
    <row r="29" spans="1:50" s="47" customFormat="1" ht="20.399999999999999" x14ac:dyDescent="0.2">
      <c r="A29" s="72" t="s">
        <v>0</v>
      </c>
      <c r="B29" s="45" t="s">
        <v>600</v>
      </c>
      <c r="C29" s="73" t="s">
        <v>15</v>
      </c>
      <c r="D29" s="73" t="s">
        <v>410</v>
      </c>
      <c r="E29" s="73" t="s">
        <v>76</v>
      </c>
      <c r="F29" s="73" t="s">
        <v>77</v>
      </c>
      <c r="G29" s="73" t="s">
        <v>78</v>
      </c>
      <c r="H29" s="73" t="s">
        <v>79</v>
      </c>
      <c r="I29" s="73" t="s">
        <v>81</v>
      </c>
      <c r="J29" s="73" t="s">
        <v>82</v>
      </c>
      <c r="K29" s="73" t="s">
        <v>83</v>
      </c>
      <c r="L29" s="73" t="s">
        <v>84</v>
      </c>
      <c r="M29" s="73" t="s">
        <v>85</v>
      </c>
      <c r="N29" s="73" t="s">
        <v>86</v>
      </c>
      <c r="O29" s="73" t="s">
        <v>915</v>
      </c>
      <c r="P29" s="73" t="s">
        <v>88</v>
      </c>
      <c r="Q29" s="71" t="s">
        <v>61</v>
      </c>
      <c r="R29" s="47" t="s">
        <v>62</v>
      </c>
      <c r="S29" s="47" t="s">
        <v>760</v>
      </c>
      <c r="T29" s="47" t="s">
        <v>65</v>
      </c>
      <c r="U29" s="47" t="s">
        <v>66</v>
      </c>
      <c r="V29" s="47" t="s">
        <v>67</v>
      </c>
      <c r="W29" s="47" t="s">
        <v>68</v>
      </c>
      <c r="X29" s="47" t="s">
        <v>602</v>
      </c>
    </row>
    <row r="30" spans="1:50" s="47" customFormat="1" ht="20.399999999999999" x14ac:dyDescent="0.2">
      <c r="A30" s="378" t="s">
        <v>2</v>
      </c>
      <c r="B30" s="378" t="s">
        <v>600</v>
      </c>
      <c r="C30" s="378" t="s">
        <v>15</v>
      </c>
      <c r="D30" s="378" t="s">
        <v>26</v>
      </c>
      <c r="E30" s="378" t="s">
        <v>69</v>
      </c>
      <c r="F30" s="378" t="s">
        <v>23</v>
      </c>
      <c r="G30" s="378" t="s">
        <v>70</v>
      </c>
      <c r="H30" s="378" t="s">
        <v>71</v>
      </c>
      <c r="I30" s="378" t="s">
        <v>72</v>
      </c>
      <c r="J30" s="378" t="s">
        <v>73</v>
      </c>
      <c r="K30" s="378" t="s">
        <v>75</v>
      </c>
      <c r="L30" s="378" t="s">
        <v>85</v>
      </c>
      <c r="M30" s="378" t="s">
        <v>61</v>
      </c>
      <c r="N30" s="378" t="s">
        <v>62</v>
      </c>
      <c r="O30" s="378" t="s">
        <v>760</v>
      </c>
      <c r="P30" s="378" t="s">
        <v>65</v>
      </c>
      <c r="Q30" s="378" t="s">
        <v>66</v>
      </c>
      <c r="R30" s="75" t="s">
        <v>67</v>
      </c>
      <c r="S30" s="75" t="s">
        <v>68</v>
      </c>
      <c r="T30" s="47" t="s">
        <v>761</v>
      </c>
      <c r="U30" s="47" t="s">
        <v>602</v>
      </c>
      <c r="V30" s="47" t="s">
        <v>821</v>
      </c>
      <c r="W30" s="47" t="s">
        <v>914</v>
      </c>
    </row>
    <row r="31" spans="1:50" s="47" customFormat="1" ht="20.399999999999999" x14ac:dyDescent="0.2">
      <c r="A31" s="378" t="s">
        <v>750</v>
      </c>
      <c r="B31" s="378" t="s">
        <v>600</v>
      </c>
      <c r="C31" s="378" t="s">
        <v>15</v>
      </c>
      <c r="D31" s="378" t="s">
        <v>797</v>
      </c>
      <c r="E31" s="378" t="s">
        <v>798</v>
      </c>
      <c r="F31" s="378" t="s">
        <v>61</v>
      </c>
      <c r="G31" s="378" t="s">
        <v>62</v>
      </c>
      <c r="H31" s="378" t="s">
        <v>68</v>
      </c>
      <c r="I31" s="378" t="s">
        <v>760</v>
      </c>
      <c r="J31" s="378" t="s">
        <v>65</v>
      </c>
      <c r="K31" s="378" t="s">
        <v>66</v>
      </c>
      <c r="L31" s="378" t="s">
        <v>67</v>
      </c>
      <c r="M31" s="378" t="s">
        <v>602</v>
      </c>
      <c r="N31" s="378"/>
      <c r="O31" s="378"/>
      <c r="P31" s="378"/>
      <c r="Q31" s="378"/>
      <c r="R31" s="75"/>
      <c r="S31" s="75"/>
    </row>
    <row r="32" spans="1:50" s="47" customFormat="1" ht="10.199999999999999" x14ac:dyDescent="0.2">
      <c r="A32" s="378" t="s">
        <v>747</v>
      </c>
      <c r="B32" s="378" t="s">
        <v>600</v>
      </c>
      <c r="C32" s="378" t="s">
        <v>15</v>
      </c>
      <c r="D32" s="378" t="s">
        <v>26</v>
      </c>
      <c r="E32" s="378" t="s">
        <v>291</v>
      </c>
      <c r="F32" s="378" t="s">
        <v>153</v>
      </c>
      <c r="G32" s="378" t="s">
        <v>789</v>
      </c>
      <c r="H32" s="378" t="s">
        <v>149</v>
      </c>
      <c r="I32" s="378"/>
      <c r="J32" s="378"/>
      <c r="K32" s="378"/>
      <c r="L32" s="378"/>
      <c r="M32" s="378"/>
      <c r="N32" s="378"/>
      <c r="O32" s="378"/>
      <c r="P32" s="378"/>
      <c r="Q32" s="378"/>
      <c r="R32" s="75"/>
      <c r="S32" s="75"/>
    </row>
    <row r="33" spans="1:50" s="47" customFormat="1" ht="20.399999999999999" x14ac:dyDescent="0.2">
      <c r="A33" s="378" t="s">
        <v>870</v>
      </c>
      <c r="B33" s="378" t="s">
        <v>600</v>
      </c>
      <c r="C33" s="378" t="s">
        <v>15</v>
      </c>
      <c r="D33" s="378" t="s">
        <v>27</v>
      </c>
      <c r="E33" s="378" t="s">
        <v>61</v>
      </c>
      <c r="F33" s="378" t="s">
        <v>62</v>
      </c>
      <c r="G33" s="378" t="s">
        <v>760</v>
      </c>
      <c r="H33" s="378" t="s">
        <v>65</v>
      </c>
      <c r="I33" s="378" t="s">
        <v>66</v>
      </c>
      <c r="J33" s="378" t="s">
        <v>67</v>
      </c>
      <c r="K33" s="378" t="s">
        <v>68</v>
      </c>
      <c r="L33" s="378" t="s">
        <v>602</v>
      </c>
      <c r="M33" s="378"/>
      <c r="N33" s="378"/>
      <c r="O33" s="378"/>
      <c r="P33" s="378"/>
      <c r="Q33" s="378"/>
      <c r="R33" s="75"/>
      <c r="S33" s="75"/>
    </row>
    <row r="34" spans="1:50" s="47" customFormat="1" ht="20.399999999999999" x14ac:dyDescent="0.2">
      <c r="A34" s="378" t="s">
        <v>753</v>
      </c>
      <c r="B34" s="378" t="s">
        <v>600</v>
      </c>
      <c r="C34" s="378" t="s">
        <v>15</v>
      </c>
      <c r="D34" s="378" t="s">
        <v>69</v>
      </c>
      <c r="E34" s="378" t="s">
        <v>801</v>
      </c>
      <c r="F34" s="378" t="s">
        <v>802</v>
      </c>
      <c r="G34" s="378" t="s">
        <v>820</v>
      </c>
      <c r="H34" s="378" t="s">
        <v>803</v>
      </c>
      <c r="I34" s="378" t="s">
        <v>61</v>
      </c>
      <c r="J34" s="378" t="s">
        <v>62</v>
      </c>
      <c r="K34" s="378" t="s">
        <v>760</v>
      </c>
      <c r="L34" s="378" t="s">
        <v>65</v>
      </c>
      <c r="M34" s="378" t="s">
        <v>66</v>
      </c>
      <c r="N34" s="378" t="s">
        <v>67</v>
      </c>
      <c r="O34" s="378" t="s">
        <v>68</v>
      </c>
      <c r="P34" s="378" t="s">
        <v>602</v>
      </c>
      <c r="Q34" s="378" t="s">
        <v>948</v>
      </c>
      <c r="R34" s="75"/>
      <c r="S34" s="75"/>
    </row>
    <row r="35" spans="1:50" s="47" customFormat="1" ht="30.6" x14ac:dyDescent="0.2">
      <c r="A35" s="72" t="s">
        <v>431</v>
      </c>
      <c r="B35" s="45" t="s">
        <v>600</v>
      </c>
      <c r="C35" s="73" t="s">
        <v>15</v>
      </c>
      <c r="D35" s="73" t="s">
        <v>523</v>
      </c>
      <c r="E35" s="73" t="s">
        <v>61</v>
      </c>
      <c r="F35" s="73" t="s">
        <v>524</v>
      </c>
      <c r="G35" s="73" t="s">
        <v>913</v>
      </c>
      <c r="H35" s="73" t="s">
        <v>442</v>
      </c>
      <c r="I35" s="73" t="s">
        <v>62</v>
      </c>
      <c r="J35" s="73" t="s">
        <v>525</v>
      </c>
      <c r="K35" s="73" t="s">
        <v>526</v>
      </c>
      <c r="L35" s="73" t="s">
        <v>527</v>
      </c>
      <c r="M35" s="73" t="s">
        <v>422</v>
      </c>
      <c r="N35" s="73" t="s">
        <v>95</v>
      </c>
      <c r="O35" s="73" t="s">
        <v>528</v>
      </c>
      <c r="P35" s="73" t="s">
        <v>756</v>
      </c>
      <c r="Q35" s="71" t="s">
        <v>69</v>
      </c>
      <c r="R35" s="47" t="s">
        <v>161</v>
      </c>
      <c r="S35" s="47" t="s">
        <v>757</v>
      </c>
      <c r="T35" s="47" t="s">
        <v>758</v>
      </c>
      <c r="U35" s="47" t="s">
        <v>759</v>
      </c>
      <c r="V35" s="47" t="s">
        <v>602</v>
      </c>
    </row>
    <row r="36" spans="1:50" s="47" customFormat="1" ht="20.399999999999999" x14ac:dyDescent="0.2">
      <c r="A36" s="378" t="s">
        <v>752</v>
      </c>
      <c r="B36" s="378" t="s">
        <v>600</v>
      </c>
      <c r="C36" s="378" t="s">
        <v>15</v>
      </c>
      <c r="D36" s="378" t="s">
        <v>114</v>
      </c>
      <c r="E36" s="378" t="s">
        <v>800</v>
      </c>
      <c r="F36" s="378" t="s">
        <v>61</v>
      </c>
      <c r="G36" s="378" t="s">
        <v>62</v>
      </c>
      <c r="H36" s="378" t="s">
        <v>68</v>
      </c>
      <c r="I36" s="378" t="s">
        <v>760</v>
      </c>
      <c r="J36" s="378" t="s">
        <v>65</v>
      </c>
      <c r="K36" s="378" t="s">
        <v>66</v>
      </c>
      <c r="L36" s="378" t="s">
        <v>67</v>
      </c>
      <c r="M36" s="378" t="s">
        <v>22</v>
      </c>
      <c r="N36" s="378" t="s">
        <v>602</v>
      </c>
      <c r="O36" s="378"/>
      <c r="P36" s="378"/>
      <c r="Q36" s="378"/>
      <c r="R36" s="75"/>
      <c r="S36" s="75"/>
    </row>
    <row r="37" spans="1:50" s="47" customFormat="1" ht="30.6" x14ac:dyDescent="0.2">
      <c r="A37" s="379" t="s">
        <v>45</v>
      </c>
      <c r="B37" s="383" t="s">
        <v>600</v>
      </c>
      <c r="C37" s="378" t="s">
        <v>15</v>
      </c>
      <c r="D37" s="378" t="s">
        <v>89</v>
      </c>
      <c r="E37" s="378" t="s">
        <v>762</v>
      </c>
      <c r="F37" s="378" t="s">
        <v>61</v>
      </c>
      <c r="G37" s="378" t="s">
        <v>62</v>
      </c>
      <c r="H37" s="378" t="s">
        <v>760</v>
      </c>
      <c r="I37" s="378" t="s">
        <v>65</v>
      </c>
      <c r="J37" s="378" t="s">
        <v>66</v>
      </c>
      <c r="K37" s="378" t="s">
        <v>67</v>
      </c>
      <c r="L37" s="378" t="s">
        <v>68</v>
      </c>
      <c r="M37" s="378" t="s">
        <v>602</v>
      </c>
      <c r="N37" s="378"/>
      <c r="O37" s="378"/>
      <c r="P37" s="378"/>
      <c r="Q37" s="380"/>
      <c r="R37" s="75"/>
      <c r="S37" s="75"/>
    </row>
    <row r="38" spans="1:50" s="47" customFormat="1" ht="20.399999999999999" x14ac:dyDescent="0.2">
      <c r="A38" s="378" t="s">
        <v>49</v>
      </c>
      <c r="B38" s="378" t="s">
        <v>600</v>
      </c>
      <c r="C38" s="378" t="s">
        <v>15</v>
      </c>
      <c r="D38" s="378" t="s">
        <v>149</v>
      </c>
      <c r="E38" s="378" t="s">
        <v>155</v>
      </c>
      <c r="F38" s="378" t="s">
        <v>100</v>
      </c>
      <c r="G38" s="378" t="s">
        <v>101</v>
      </c>
      <c r="H38" s="378" t="s">
        <v>156</v>
      </c>
      <c r="I38" s="378" t="s">
        <v>157</v>
      </c>
      <c r="J38" s="378" t="s">
        <v>158</v>
      </c>
      <c r="K38" s="378" t="s">
        <v>159</v>
      </c>
      <c r="L38" s="378" t="s">
        <v>92</v>
      </c>
      <c r="M38" s="378" t="s">
        <v>93</v>
      </c>
      <c r="N38" s="378" t="s">
        <v>141</v>
      </c>
      <c r="O38" s="378" t="s">
        <v>95</v>
      </c>
      <c r="P38" s="378" t="s">
        <v>118</v>
      </c>
      <c r="Q38" s="378" t="s">
        <v>548</v>
      </c>
      <c r="R38" s="75" t="s">
        <v>61</v>
      </c>
      <c r="S38" s="75" t="s">
        <v>62</v>
      </c>
      <c r="T38" s="47" t="s">
        <v>760</v>
      </c>
      <c r="U38" s="47" t="s">
        <v>65</v>
      </c>
      <c r="V38" s="47" t="s">
        <v>66</v>
      </c>
      <c r="W38" s="47" t="s">
        <v>67</v>
      </c>
      <c r="X38" s="47" t="s">
        <v>68</v>
      </c>
      <c r="Y38" s="47" t="s">
        <v>602</v>
      </c>
    </row>
    <row r="39" spans="1:50" s="47" customFormat="1" ht="20.399999999999999" x14ac:dyDescent="0.2">
      <c r="A39" s="378" t="s">
        <v>748</v>
      </c>
      <c r="B39" s="378" t="s">
        <v>600</v>
      </c>
      <c r="C39" s="378" t="s">
        <v>15</v>
      </c>
      <c r="D39" s="378" t="s">
        <v>149</v>
      </c>
      <c r="E39" s="378" t="s">
        <v>791</v>
      </c>
      <c r="F39" s="378" t="s">
        <v>792</v>
      </c>
      <c r="G39" s="378" t="s">
        <v>793</v>
      </c>
      <c r="H39" s="378" t="s">
        <v>794</v>
      </c>
      <c r="I39" s="378" t="s">
        <v>153</v>
      </c>
      <c r="J39" s="378" t="s">
        <v>117</v>
      </c>
      <c r="K39" s="378" t="s">
        <v>280</v>
      </c>
      <c r="L39" s="378" t="s">
        <v>543</v>
      </c>
      <c r="M39" s="378" t="s">
        <v>127</v>
      </c>
      <c r="N39" s="378"/>
      <c r="O39" s="378"/>
      <c r="P39" s="378"/>
      <c r="Q39" s="378"/>
      <c r="R39" s="75"/>
      <c r="S39" s="75"/>
    </row>
    <row r="40" spans="1:50" s="47" customFormat="1" ht="20.399999999999999" x14ac:dyDescent="0.2">
      <c r="A40" s="378" t="s">
        <v>5</v>
      </c>
      <c r="B40" s="378" t="s">
        <v>600</v>
      </c>
      <c r="C40" s="378" t="s">
        <v>15</v>
      </c>
      <c r="D40" s="378" t="s">
        <v>127</v>
      </c>
      <c r="E40" s="378" t="s">
        <v>128</v>
      </c>
      <c r="F40" s="378" t="s">
        <v>129</v>
      </c>
      <c r="G40" s="378" t="s">
        <v>540</v>
      </c>
      <c r="H40" s="378" t="s">
        <v>85</v>
      </c>
      <c r="I40" s="378" t="s">
        <v>61</v>
      </c>
      <c r="J40" s="378" t="s">
        <v>62</v>
      </c>
      <c r="K40" s="378" t="s">
        <v>763</v>
      </c>
      <c r="L40" s="378" t="s">
        <v>65</v>
      </c>
      <c r="M40" s="378" t="s">
        <v>66</v>
      </c>
      <c r="N40" s="378" t="s">
        <v>67</v>
      </c>
      <c r="O40" s="378" t="s">
        <v>68</v>
      </c>
      <c r="P40" s="378" t="s">
        <v>541</v>
      </c>
      <c r="Q40" s="378" t="s">
        <v>147</v>
      </c>
      <c r="R40" s="75" t="s">
        <v>148</v>
      </c>
      <c r="S40" s="75" t="s">
        <v>141</v>
      </c>
      <c r="T40" s="47" t="s">
        <v>144</v>
      </c>
      <c r="U40" s="47" t="s">
        <v>145</v>
      </c>
      <c r="V40" s="47" t="s">
        <v>146</v>
      </c>
      <c r="W40" s="47" t="s">
        <v>142</v>
      </c>
      <c r="X40" s="47" t="s">
        <v>140</v>
      </c>
      <c r="Y40" s="47" t="s">
        <v>143</v>
      </c>
      <c r="Z40" s="47" t="s">
        <v>132</v>
      </c>
      <c r="AA40" s="47" t="s">
        <v>131</v>
      </c>
      <c r="AB40" s="47" t="s">
        <v>134</v>
      </c>
      <c r="AC40" s="47" t="s">
        <v>139</v>
      </c>
      <c r="AD40" s="47" t="s">
        <v>764</v>
      </c>
      <c r="AE40" s="47" t="s">
        <v>133</v>
      </c>
      <c r="AF40" s="47" t="s">
        <v>138</v>
      </c>
      <c r="AG40" s="47" t="s">
        <v>42</v>
      </c>
      <c r="AH40" s="47" t="s">
        <v>135</v>
      </c>
      <c r="AI40" s="47" t="s">
        <v>136</v>
      </c>
      <c r="AJ40" s="47" t="s">
        <v>137</v>
      </c>
      <c r="AK40" s="47" t="s">
        <v>130</v>
      </c>
      <c r="AL40" s="47" t="s">
        <v>602</v>
      </c>
      <c r="AM40" s="47" t="s">
        <v>604</v>
      </c>
      <c r="AN40" s="47" t="s">
        <v>930</v>
      </c>
      <c r="AO40" s="47" t="s">
        <v>931</v>
      </c>
      <c r="AP40" s="47" t="s">
        <v>932</v>
      </c>
      <c r="AQ40" s="47" t="s">
        <v>933</v>
      </c>
      <c r="AR40" s="47" t="s">
        <v>934</v>
      </c>
      <c r="AS40" s="47" t="s">
        <v>935</v>
      </c>
      <c r="AT40" s="47" t="s">
        <v>936</v>
      </c>
      <c r="AU40" s="47" t="s">
        <v>937</v>
      </c>
      <c r="AV40" s="47" t="s">
        <v>938</v>
      </c>
      <c r="AW40" s="47" t="s">
        <v>939</v>
      </c>
      <c r="AX40" s="47" t="s">
        <v>940</v>
      </c>
    </row>
    <row r="41" spans="1:50" s="47" customFormat="1" ht="20.399999999999999" x14ac:dyDescent="0.2">
      <c r="A41" s="378" t="s">
        <v>54</v>
      </c>
      <c r="B41" s="378" t="s">
        <v>600</v>
      </c>
      <c r="C41" s="378" t="s">
        <v>15</v>
      </c>
      <c r="D41" s="378" t="s">
        <v>69</v>
      </c>
      <c r="E41" s="378" t="s">
        <v>165</v>
      </c>
      <c r="F41" s="378" t="s">
        <v>95</v>
      </c>
      <c r="G41" s="378" t="s">
        <v>166</v>
      </c>
      <c r="H41" s="378" t="s">
        <v>167</v>
      </c>
      <c r="I41" s="378" t="s">
        <v>168</v>
      </c>
      <c r="J41" s="378" t="s">
        <v>61</v>
      </c>
      <c r="K41" s="378" t="s">
        <v>62</v>
      </c>
      <c r="L41" s="378" t="s">
        <v>760</v>
      </c>
      <c r="M41" s="378" t="s">
        <v>65</v>
      </c>
      <c r="N41" s="378" t="s">
        <v>66</v>
      </c>
      <c r="O41" s="378" t="s">
        <v>67</v>
      </c>
      <c r="P41" s="378" t="s">
        <v>68</v>
      </c>
      <c r="Q41" s="378" t="s">
        <v>602</v>
      </c>
      <c r="R41" s="75"/>
      <c r="S41" s="75"/>
    </row>
    <row r="42" spans="1:50" s="47" customFormat="1" ht="20.399999999999999" x14ac:dyDescent="0.2">
      <c r="A42" s="72" t="s">
        <v>53</v>
      </c>
      <c r="B42" s="45" t="s">
        <v>600</v>
      </c>
      <c r="C42" s="73" t="s">
        <v>15</v>
      </c>
      <c r="D42" s="73" t="s">
        <v>69</v>
      </c>
      <c r="E42" s="73" t="s">
        <v>162</v>
      </c>
      <c r="F42" s="73" t="s">
        <v>163</v>
      </c>
      <c r="G42" s="73" t="s">
        <v>100</v>
      </c>
      <c r="H42" s="73" t="s">
        <v>124</v>
      </c>
      <c r="I42" s="73" t="s">
        <v>164</v>
      </c>
      <c r="J42" s="73" t="s">
        <v>61</v>
      </c>
      <c r="K42" s="73" t="s">
        <v>62</v>
      </c>
      <c r="L42" s="73" t="s">
        <v>760</v>
      </c>
      <c r="M42" s="73" t="s">
        <v>65</v>
      </c>
      <c r="N42" s="73" t="s">
        <v>66</v>
      </c>
      <c r="O42" s="73" t="s">
        <v>67</v>
      </c>
      <c r="P42" s="73" t="s">
        <v>68</v>
      </c>
      <c r="Q42" s="71" t="s">
        <v>38</v>
      </c>
      <c r="R42" s="47" t="s">
        <v>602</v>
      </c>
    </row>
    <row r="43" spans="1:50" s="47" customFormat="1" ht="20.399999999999999" x14ac:dyDescent="0.2">
      <c r="A43" s="378" t="s">
        <v>531</v>
      </c>
      <c r="B43" s="378" t="s">
        <v>600</v>
      </c>
      <c r="C43" s="378" t="s">
        <v>15</v>
      </c>
      <c r="D43" s="378" t="s">
        <v>26</v>
      </c>
      <c r="E43" s="378" t="s">
        <v>141</v>
      </c>
      <c r="F43" s="378" t="s">
        <v>788</v>
      </c>
      <c r="G43" s="378" t="s">
        <v>61</v>
      </c>
      <c r="H43" s="378" t="s">
        <v>62</v>
      </c>
      <c r="I43" s="378" t="s">
        <v>760</v>
      </c>
      <c r="J43" s="378" t="s">
        <v>65</v>
      </c>
      <c r="K43" s="378" t="s">
        <v>66</v>
      </c>
      <c r="L43" s="378" t="s">
        <v>67</v>
      </c>
      <c r="M43" s="378" t="s">
        <v>68</v>
      </c>
      <c r="N43" s="378" t="s">
        <v>602</v>
      </c>
      <c r="O43" s="378"/>
      <c r="P43" s="378"/>
      <c r="Q43" s="378"/>
      <c r="R43" s="75"/>
      <c r="S43" s="75"/>
    </row>
    <row r="44" spans="1:50" s="47" customFormat="1" ht="20.399999999999999" x14ac:dyDescent="0.2">
      <c r="A44" s="378" t="s">
        <v>51</v>
      </c>
      <c r="B44" s="378" t="s">
        <v>600</v>
      </c>
      <c r="C44" s="378" t="s">
        <v>15</v>
      </c>
      <c r="D44" s="378" t="s">
        <v>22</v>
      </c>
      <c r="E44" s="378" t="s">
        <v>38</v>
      </c>
      <c r="F44" s="378" t="s">
        <v>418</v>
      </c>
      <c r="G44" s="378" t="s">
        <v>61</v>
      </c>
      <c r="H44" s="378" t="s">
        <v>62</v>
      </c>
      <c r="I44" s="378" t="s">
        <v>760</v>
      </c>
      <c r="J44" s="378" t="s">
        <v>65</v>
      </c>
      <c r="K44" s="378" t="s">
        <v>66</v>
      </c>
      <c r="L44" s="378" t="s">
        <v>67</v>
      </c>
      <c r="M44" s="378" t="s">
        <v>68</v>
      </c>
      <c r="N44" s="378" t="s">
        <v>602</v>
      </c>
      <c r="O44" s="378"/>
      <c r="P44" s="378"/>
      <c r="Q44" s="378"/>
      <c r="R44" s="75"/>
      <c r="S44" s="75"/>
    </row>
    <row r="45" spans="1:50" s="47" customFormat="1" ht="20.399999999999999" x14ac:dyDescent="0.2">
      <c r="A45" s="379" t="s">
        <v>483</v>
      </c>
      <c r="B45" s="378" t="s">
        <v>600</v>
      </c>
      <c r="C45" s="378" t="s">
        <v>15</v>
      </c>
      <c r="D45" s="378" t="s">
        <v>69</v>
      </c>
      <c r="E45" s="378" t="s">
        <v>95</v>
      </c>
      <c r="F45" s="378" t="s">
        <v>790</v>
      </c>
      <c r="G45" s="378" t="s">
        <v>538</v>
      </c>
      <c r="H45" s="378" t="s">
        <v>548</v>
      </c>
      <c r="I45" s="378" t="s">
        <v>61</v>
      </c>
      <c r="J45" s="378" t="s">
        <v>62</v>
      </c>
      <c r="K45" s="378" t="s">
        <v>68</v>
      </c>
      <c r="L45" s="378" t="s">
        <v>760</v>
      </c>
      <c r="M45" s="378" t="s">
        <v>65</v>
      </c>
      <c r="N45" s="378" t="s">
        <v>66</v>
      </c>
      <c r="O45" s="378" t="s">
        <v>67</v>
      </c>
      <c r="P45" s="378" t="s">
        <v>602</v>
      </c>
      <c r="Q45" s="380"/>
      <c r="R45" s="75"/>
      <c r="S45" s="75"/>
    </row>
    <row r="46" spans="1:50" s="47" customFormat="1" ht="20.399999999999999" x14ac:dyDescent="0.2">
      <c r="A46" s="378" t="s">
        <v>46</v>
      </c>
      <c r="B46" s="378" t="s">
        <v>600</v>
      </c>
      <c r="C46" s="378" t="s">
        <v>15</v>
      </c>
      <c r="D46" s="378" t="s">
        <v>69</v>
      </c>
      <c r="E46" s="378" t="s">
        <v>123</v>
      </c>
      <c r="F46" s="378" t="s">
        <v>124</v>
      </c>
      <c r="G46" s="378" t="s">
        <v>125</v>
      </c>
      <c r="H46" s="378" t="s">
        <v>126</v>
      </c>
      <c r="I46" s="378" t="s">
        <v>118</v>
      </c>
      <c r="J46" s="378" t="s">
        <v>61</v>
      </c>
      <c r="K46" s="378" t="s">
        <v>62</v>
      </c>
      <c r="L46" s="378" t="s">
        <v>760</v>
      </c>
      <c r="M46" s="378" t="s">
        <v>65</v>
      </c>
      <c r="N46" s="378" t="s">
        <v>66</v>
      </c>
      <c r="O46" s="378" t="s">
        <v>67</v>
      </c>
      <c r="P46" s="378" t="s">
        <v>68</v>
      </c>
      <c r="Q46" s="378" t="s">
        <v>602</v>
      </c>
      <c r="R46" s="75"/>
      <c r="S46" s="75"/>
    </row>
    <row r="47" spans="1:50" s="47" customFormat="1" ht="20.399999999999999" x14ac:dyDescent="0.2">
      <c r="A47" s="378" t="s">
        <v>746</v>
      </c>
      <c r="B47" s="378" t="s">
        <v>600</v>
      </c>
      <c r="C47" s="378" t="s">
        <v>15</v>
      </c>
      <c r="D47" s="378" t="s">
        <v>141</v>
      </c>
      <c r="E47" s="378" t="s">
        <v>32</v>
      </c>
      <c r="F47" s="378" t="s">
        <v>61</v>
      </c>
      <c r="G47" s="378" t="s">
        <v>62</v>
      </c>
      <c r="H47" s="378" t="s">
        <v>760</v>
      </c>
      <c r="I47" s="378" t="s">
        <v>65</v>
      </c>
      <c r="J47" s="378" t="s">
        <v>66</v>
      </c>
      <c r="K47" s="378" t="s">
        <v>67</v>
      </c>
      <c r="L47" s="378" t="s">
        <v>68</v>
      </c>
      <c r="M47" s="378" t="s">
        <v>602</v>
      </c>
      <c r="N47" s="378"/>
      <c r="O47" s="378"/>
      <c r="P47" s="378"/>
      <c r="Q47" s="378"/>
      <c r="R47" s="75"/>
      <c r="S47" s="75"/>
    </row>
    <row r="48" spans="1:50" s="47" customFormat="1" ht="20.399999999999999" x14ac:dyDescent="0.2">
      <c r="A48" s="72" t="s">
        <v>419</v>
      </c>
      <c r="B48" s="45" t="s">
        <v>600</v>
      </c>
      <c r="C48" s="73" t="s">
        <v>15</v>
      </c>
      <c r="D48" s="73" t="s">
        <v>27</v>
      </c>
      <c r="E48" s="73" t="s">
        <v>91</v>
      </c>
      <c r="F48" s="73" t="s">
        <v>420</v>
      </c>
      <c r="G48" s="73" t="s">
        <v>421</v>
      </c>
      <c r="H48" s="73" t="s">
        <v>422</v>
      </c>
      <c r="I48" s="73" t="s">
        <v>95</v>
      </c>
      <c r="J48" s="73" t="s">
        <v>61</v>
      </c>
      <c r="K48" s="73" t="s">
        <v>62</v>
      </c>
      <c r="L48" s="73" t="s">
        <v>760</v>
      </c>
      <c r="M48" s="73" t="s">
        <v>65</v>
      </c>
      <c r="N48" s="73" t="s">
        <v>66</v>
      </c>
      <c r="O48" s="73" t="s">
        <v>67</v>
      </c>
      <c r="P48" s="73" t="s">
        <v>68</v>
      </c>
      <c r="Q48" s="71" t="s">
        <v>602</v>
      </c>
      <c r="R48" s="47" t="s">
        <v>100</v>
      </c>
      <c r="S48" s="47" t="s">
        <v>124</v>
      </c>
    </row>
    <row r="49" spans="1:25" s="47" customFormat="1" ht="20.399999999999999" x14ac:dyDescent="0.2">
      <c r="A49" s="378" t="s">
        <v>423</v>
      </c>
      <c r="B49" s="378" t="s">
        <v>600</v>
      </c>
      <c r="C49" s="378" t="s">
        <v>15</v>
      </c>
      <c r="D49" s="378" t="s">
        <v>421</v>
      </c>
      <c r="E49" s="378" t="s">
        <v>422</v>
      </c>
      <c r="F49" s="378" t="s">
        <v>95</v>
      </c>
      <c r="G49" s="378" t="s">
        <v>38</v>
      </c>
      <c r="H49" s="378" t="s">
        <v>61</v>
      </c>
      <c r="I49" s="378" t="s">
        <v>62</v>
      </c>
      <c r="J49" s="378" t="s">
        <v>760</v>
      </c>
      <c r="K49" s="378" t="s">
        <v>65</v>
      </c>
      <c r="L49" s="378" t="s">
        <v>66</v>
      </c>
      <c r="M49" s="378" t="s">
        <v>67</v>
      </c>
      <c r="N49" s="378" t="s">
        <v>68</v>
      </c>
      <c r="O49" s="378" t="s">
        <v>602</v>
      </c>
      <c r="P49" s="378"/>
      <c r="Q49" s="378"/>
      <c r="R49" s="75"/>
      <c r="S49" s="75"/>
    </row>
    <row r="50" spans="1:25" s="47" customFormat="1" ht="20.399999999999999" x14ac:dyDescent="0.3">
      <c r="A50" s="378" t="s">
        <v>301</v>
      </c>
      <c r="B50" s="378" t="s">
        <v>600</v>
      </c>
      <c r="C50" s="378" t="s">
        <v>15</v>
      </c>
      <c r="D50" s="378" t="s">
        <v>95</v>
      </c>
      <c r="E50" s="378" t="s">
        <v>166</v>
      </c>
      <c r="F50" s="378" t="s">
        <v>167</v>
      </c>
      <c r="G50" s="378" t="s">
        <v>61</v>
      </c>
      <c r="H50" s="378" t="s">
        <v>62</v>
      </c>
      <c r="I50" s="381" t="s">
        <v>760</v>
      </c>
      <c r="J50" s="381" t="s">
        <v>65</v>
      </c>
      <c r="K50" s="381" t="s">
        <v>66</v>
      </c>
      <c r="L50" s="381" t="s">
        <v>67</v>
      </c>
      <c r="M50" s="381" t="s">
        <v>68</v>
      </c>
      <c r="N50" s="381" t="s">
        <v>602</v>
      </c>
      <c r="O50" s="381"/>
      <c r="P50" s="381"/>
      <c r="Q50" s="381"/>
      <c r="R50" s="75"/>
      <c r="S50" s="75"/>
    </row>
    <row r="51" spans="1:25" s="47" customFormat="1" ht="20.399999999999999" x14ac:dyDescent="0.2">
      <c r="A51" s="378" t="s">
        <v>754</v>
      </c>
      <c r="B51" s="378" t="s">
        <v>600</v>
      </c>
      <c r="C51" s="378" t="s">
        <v>15</v>
      </c>
      <c r="D51" s="378" t="s">
        <v>114</v>
      </c>
      <c r="E51" s="378" t="s">
        <v>61</v>
      </c>
      <c r="F51" s="378" t="s">
        <v>62</v>
      </c>
      <c r="G51" s="378" t="s">
        <v>68</v>
      </c>
      <c r="H51" s="378" t="s">
        <v>760</v>
      </c>
      <c r="I51" s="378" t="s">
        <v>65</v>
      </c>
      <c r="J51" s="378" t="s">
        <v>66</v>
      </c>
      <c r="K51" s="378" t="s">
        <v>67</v>
      </c>
      <c r="L51" s="378" t="s">
        <v>22</v>
      </c>
      <c r="M51" s="378" t="s">
        <v>602</v>
      </c>
      <c r="N51" s="378"/>
      <c r="O51" s="378"/>
      <c r="P51" s="378"/>
      <c r="Q51" s="378"/>
      <c r="R51" s="75"/>
      <c r="S51" s="75"/>
    </row>
    <row r="52" spans="1:25" s="47" customFormat="1" ht="20.399999999999999" x14ac:dyDescent="0.2">
      <c r="A52" s="379" t="s">
        <v>50</v>
      </c>
      <c r="B52" s="378" t="s">
        <v>600</v>
      </c>
      <c r="C52" s="378" t="s">
        <v>15</v>
      </c>
      <c r="D52" s="378" t="s">
        <v>149</v>
      </c>
      <c r="E52" s="378" t="s">
        <v>155</v>
      </c>
      <c r="F52" s="378" t="s">
        <v>160</v>
      </c>
      <c r="G52" s="378" t="s">
        <v>100</v>
      </c>
      <c r="H52" s="378" t="s">
        <v>101</v>
      </c>
      <c r="I52" s="378" t="s">
        <v>156</v>
      </c>
      <c r="J52" s="378" t="s">
        <v>157</v>
      </c>
      <c r="K52" s="378" t="s">
        <v>158</v>
      </c>
      <c r="L52" s="378" t="s">
        <v>159</v>
      </c>
      <c r="M52" s="378" t="s">
        <v>92</v>
      </c>
      <c r="N52" s="378" t="s">
        <v>93</v>
      </c>
      <c r="O52" s="378" t="s">
        <v>95</v>
      </c>
      <c r="P52" s="378" t="s">
        <v>118</v>
      </c>
      <c r="Q52" s="380" t="s">
        <v>548</v>
      </c>
      <c r="R52" s="75" t="s">
        <v>61</v>
      </c>
      <c r="S52" s="75" t="s">
        <v>62</v>
      </c>
      <c r="T52" s="47" t="s">
        <v>760</v>
      </c>
      <c r="U52" s="47" t="s">
        <v>65</v>
      </c>
      <c r="V52" s="47" t="s">
        <v>66</v>
      </c>
      <c r="W52" s="47" t="s">
        <v>67</v>
      </c>
      <c r="X52" s="47" t="s">
        <v>68</v>
      </c>
      <c r="Y52" s="47" t="s">
        <v>602</v>
      </c>
    </row>
    <row r="53" spans="1:25" s="47" customFormat="1" ht="20.399999999999999" x14ac:dyDescent="0.2">
      <c r="A53" s="72" t="s">
        <v>749</v>
      </c>
      <c r="B53" s="45" t="s">
        <v>600</v>
      </c>
      <c r="C53" s="73" t="s">
        <v>15</v>
      </c>
      <c r="D53" s="73" t="s">
        <v>795</v>
      </c>
      <c r="E53" s="73" t="s">
        <v>796</v>
      </c>
      <c r="F53" s="73" t="s">
        <v>794</v>
      </c>
      <c r="G53" s="73" t="s">
        <v>153</v>
      </c>
      <c r="H53" s="73" t="s">
        <v>117</v>
      </c>
      <c r="I53" s="73" t="s">
        <v>35</v>
      </c>
      <c r="J53" s="73" t="s">
        <v>127</v>
      </c>
      <c r="K53" s="73"/>
      <c r="L53" s="73"/>
      <c r="M53" s="73"/>
      <c r="N53" s="73"/>
      <c r="O53" s="73"/>
      <c r="P53" s="73"/>
      <c r="Q53" s="71"/>
    </row>
    <row r="54" spans="1:25" s="47" customFormat="1" ht="10.199999999999999" x14ac:dyDescent="0.2">
      <c r="A54" s="378"/>
      <c r="B54" s="378"/>
      <c r="C54" s="378"/>
      <c r="D54" s="378"/>
      <c r="E54" s="378"/>
      <c r="F54" s="378"/>
      <c r="G54" s="378"/>
      <c r="H54" s="378"/>
      <c r="I54" s="378"/>
      <c r="J54" s="378"/>
      <c r="K54" s="378"/>
      <c r="L54" s="378"/>
      <c r="M54" s="378"/>
      <c r="N54" s="378"/>
      <c r="O54" s="378"/>
      <c r="P54" s="378"/>
      <c r="Q54" s="378"/>
      <c r="R54" s="75"/>
      <c r="S54" s="75"/>
    </row>
    <row r="55" spans="1:25" s="47" customFormat="1" ht="10.199999999999999" x14ac:dyDescent="0.2">
      <c r="A55" s="378"/>
      <c r="B55" s="378"/>
      <c r="C55" s="378"/>
      <c r="D55" s="378"/>
      <c r="E55" s="378"/>
      <c r="F55" s="378"/>
      <c r="G55" s="378"/>
      <c r="H55" s="378"/>
      <c r="I55" s="378"/>
      <c r="J55" s="378"/>
      <c r="K55" s="378"/>
      <c r="L55" s="378"/>
      <c r="M55" s="378"/>
      <c r="N55" s="378"/>
      <c r="O55" s="378"/>
      <c r="P55" s="378"/>
      <c r="Q55" s="378"/>
      <c r="R55" s="75"/>
      <c r="S55" s="75"/>
    </row>
    <row r="56" spans="1:25" s="47" customFormat="1" ht="10.199999999999999" x14ac:dyDescent="0.2">
      <c r="A56" s="378"/>
      <c r="B56" s="378"/>
      <c r="C56" s="378"/>
      <c r="D56" s="378"/>
      <c r="E56" s="378"/>
      <c r="F56" s="378"/>
      <c r="G56" s="378"/>
      <c r="H56" s="378"/>
      <c r="I56" s="378"/>
      <c r="J56" s="378"/>
      <c r="K56" s="378"/>
      <c r="L56" s="378"/>
      <c r="M56" s="378"/>
      <c r="N56" s="378"/>
      <c r="O56" s="378"/>
      <c r="P56" s="378"/>
      <c r="Q56" s="378"/>
      <c r="R56" s="75"/>
      <c r="S56" s="75"/>
    </row>
    <row r="57" spans="1:25" s="47" customFormat="1" ht="10.199999999999999" x14ac:dyDescent="0.2">
      <c r="A57" s="378"/>
      <c r="B57" s="378"/>
      <c r="C57" s="378"/>
      <c r="D57" s="378"/>
      <c r="E57" s="378"/>
      <c r="F57" s="378"/>
      <c r="G57" s="378"/>
      <c r="H57" s="378"/>
      <c r="I57" s="378"/>
      <c r="J57" s="378"/>
      <c r="K57" s="378"/>
      <c r="L57" s="378"/>
      <c r="M57" s="378"/>
      <c r="N57" s="378"/>
      <c r="O57" s="378"/>
      <c r="P57" s="378"/>
      <c r="Q57" s="378"/>
      <c r="R57" s="75"/>
      <c r="S57" s="75"/>
    </row>
    <row r="58" spans="1:25" s="47" customFormat="1" ht="10.199999999999999" x14ac:dyDescent="0.2">
      <c r="A58" s="72"/>
      <c r="B58" s="45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3"/>
      <c r="Q58" s="71"/>
    </row>
    <row r="59" spans="1:25" s="47" customFormat="1" ht="10.199999999999999" x14ac:dyDescent="0.2">
      <c r="A59" s="72"/>
      <c r="B59" s="45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1"/>
    </row>
    <row r="60" spans="1:25" s="47" customFormat="1" ht="10.199999999999999" x14ac:dyDescent="0.2">
      <c r="A60" s="72"/>
      <c r="B60" s="45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1"/>
    </row>
    <row r="61" spans="1:25" s="47" customFormat="1" ht="10.199999999999999" x14ac:dyDescent="0.2">
      <c r="A61" s="72"/>
      <c r="B61" s="45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1"/>
    </row>
    <row r="62" spans="1:25" s="47" customFormat="1" ht="10.199999999999999" x14ac:dyDescent="0.2">
      <c r="A62" s="72"/>
      <c r="B62" s="45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73"/>
      <c r="P62" s="73"/>
      <c r="Q62" s="71"/>
    </row>
    <row r="63" spans="1:25" s="47" customFormat="1" ht="10.199999999999999" x14ac:dyDescent="0.2">
      <c r="A63" s="72"/>
      <c r="B63" s="45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3"/>
      <c r="Q63" s="71"/>
    </row>
    <row r="64" spans="1:25" s="47" customFormat="1" ht="10.199999999999999" x14ac:dyDescent="0.2">
      <c r="A64" s="72"/>
      <c r="B64" s="45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1"/>
    </row>
    <row r="65" spans="1:17" s="47" customFormat="1" ht="10.199999999999999" x14ac:dyDescent="0.2">
      <c r="A65" s="72"/>
      <c r="B65" s="45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1"/>
    </row>
    <row r="66" spans="1:17" s="47" customFormat="1" ht="10.199999999999999" x14ac:dyDescent="0.2">
      <c r="A66" s="72"/>
      <c r="B66" s="45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1"/>
    </row>
    <row r="67" spans="1:17" s="47" customFormat="1" ht="10.199999999999999" x14ac:dyDescent="0.2">
      <c r="A67" s="72"/>
      <c r="B67" s="45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1"/>
    </row>
    <row r="68" spans="1:17" s="47" customFormat="1" ht="10.199999999999999" x14ac:dyDescent="0.2">
      <c r="A68" s="72"/>
      <c r="B68" s="45"/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1"/>
    </row>
    <row r="69" spans="1:17" s="47" customFormat="1" ht="10.199999999999999" x14ac:dyDescent="0.2">
      <c r="A69" s="72"/>
      <c r="B69" s="45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1"/>
    </row>
    <row r="70" spans="1:17" s="47" customFormat="1" ht="10.199999999999999" x14ac:dyDescent="0.2">
      <c r="A70" s="72"/>
      <c r="B70" s="45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1"/>
    </row>
    <row r="71" spans="1:17" s="47" customFormat="1" ht="10.199999999999999" x14ac:dyDescent="0.2">
      <c r="A71" s="72"/>
      <c r="B71" s="45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1"/>
    </row>
    <row r="72" spans="1:17" s="47" customFormat="1" ht="10.199999999999999" x14ac:dyDescent="0.2">
      <c r="A72" s="72"/>
      <c r="B72" s="45"/>
      <c r="C72" s="73"/>
      <c r="D72" s="73"/>
      <c r="E72" s="73"/>
      <c r="F72" s="73"/>
      <c r="G72" s="73"/>
      <c r="H72" s="73"/>
      <c r="I72" s="73"/>
      <c r="J72" s="73"/>
      <c r="K72" s="73"/>
      <c r="L72" s="73"/>
      <c r="M72" s="73"/>
      <c r="N72" s="73"/>
      <c r="O72" s="73"/>
      <c r="P72" s="73"/>
      <c r="Q72" s="71"/>
    </row>
    <row r="73" spans="1:17" s="47" customFormat="1" ht="10.199999999999999" x14ac:dyDescent="0.2">
      <c r="A73" s="72"/>
      <c r="B73" s="45"/>
      <c r="C73" s="73"/>
      <c r="D73" s="73"/>
      <c r="E73" s="73"/>
      <c r="F73" s="73"/>
      <c r="G73" s="73"/>
      <c r="H73" s="73"/>
      <c r="I73" s="73"/>
      <c r="J73" s="73"/>
      <c r="K73" s="73"/>
      <c r="L73" s="73"/>
      <c r="M73" s="73"/>
      <c r="N73" s="73"/>
      <c r="O73" s="73"/>
      <c r="P73" s="73"/>
      <c r="Q73" s="71"/>
    </row>
    <row r="74" spans="1:17" s="47" customFormat="1" ht="10.199999999999999" x14ac:dyDescent="0.2">
      <c r="A74" s="72"/>
      <c r="B74" s="45"/>
      <c r="C74" s="73"/>
      <c r="D74" s="73"/>
      <c r="E74" s="73"/>
      <c r="F74" s="73"/>
      <c r="G74" s="73"/>
      <c r="H74" s="73"/>
      <c r="I74" s="73"/>
      <c r="J74" s="73"/>
      <c r="K74" s="73"/>
      <c r="L74" s="73"/>
      <c r="M74" s="73"/>
      <c r="N74" s="73"/>
      <c r="O74" s="73"/>
      <c r="P74" s="73"/>
      <c r="Q74" s="71"/>
    </row>
    <row r="75" spans="1:17" s="47" customFormat="1" ht="10.199999999999999" x14ac:dyDescent="0.2">
      <c r="A75" s="72"/>
      <c r="B75" s="45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1"/>
    </row>
    <row r="76" spans="1:17" s="47" customFormat="1" ht="10.199999999999999" x14ac:dyDescent="0.2">
      <c r="A76" s="72"/>
      <c r="B76" s="45"/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73"/>
      <c r="N76" s="73"/>
      <c r="O76" s="73"/>
      <c r="P76" s="73"/>
      <c r="Q76" s="71"/>
    </row>
    <row r="77" spans="1:17" s="47" customFormat="1" ht="10.199999999999999" x14ac:dyDescent="0.2">
      <c r="A77" s="72"/>
      <c r="B77" s="45"/>
      <c r="C77" s="73"/>
      <c r="D77" s="73"/>
      <c r="E77" s="73"/>
      <c r="F77" s="73"/>
      <c r="G77" s="73"/>
      <c r="H77" s="73"/>
      <c r="I77" s="73"/>
      <c r="J77" s="73"/>
      <c r="K77" s="73"/>
      <c r="L77" s="73"/>
      <c r="M77" s="73"/>
      <c r="N77" s="73"/>
      <c r="O77" s="73"/>
      <c r="P77" s="73"/>
      <c r="Q77" s="71"/>
    </row>
    <row r="78" spans="1:17" s="47" customFormat="1" ht="10.199999999999999" x14ac:dyDescent="0.2">
      <c r="A78" s="72"/>
      <c r="B78" s="45"/>
      <c r="C78" s="73"/>
      <c r="D78" s="73"/>
      <c r="E78" s="73"/>
      <c r="F78" s="73"/>
      <c r="G78" s="73"/>
      <c r="H78" s="73"/>
      <c r="I78" s="73"/>
      <c r="J78" s="73"/>
      <c r="K78" s="73"/>
      <c r="L78" s="73"/>
      <c r="M78" s="73"/>
      <c r="N78" s="73"/>
      <c r="O78" s="73"/>
      <c r="P78" s="73"/>
      <c r="Q78" s="71"/>
    </row>
    <row r="79" spans="1:17" s="47" customFormat="1" ht="10.199999999999999" x14ac:dyDescent="0.2">
      <c r="A79" s="72"/>
      <c r="B79" s="45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1"/>
    </row>
    <row r="80" spans="1:17" s="47" customFormat="1" ht="10.199999999999999" x14ac:dyDescent="0.2">
      <c r="A80" s="72"/>
      <c r="B80" s="45"/>
      <c r="C80" s="73"/>
      <c r="D80" s="73"/>
      <c r="E80" s="73"/>
      <c r="F80" s="73"/>
      <c r="G80" s="73"/>
      <c r="H80" s="73"/>
      <c r="I80" s="73"/>
      <c r="J80" s="73"/>
      <c r="K80" s="73"/>
      <c r="L80" s="73"/>
      <c r="M80" s="73"/>
      <c r="N80" s="73"/>
      <c r="O80" s="73"/>
      <c r="P80" s="73"/>
      <c r="Q80" s="71"/>
    </row>
    <row r="81" spans="1:17" s="47" customFormat="1" ht="10.199999999999999" x14ac:dyDescent="0.2">
      <c r="A81" s="72"/>
      <c r="B81" s="45"/>
      <c r="C81" s="73"/>
      <c r="D81" s="73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1"/>
    </row>
    <row r="82" spans="1:17" s="47" customFormat="1" ht="10.199999999999999" x14ac:dyDescent="0.2">
      <c r="A82" s="72"/>
      <c r="B82" s="45"/>
      <c r="C82" s="73"/>
      <c r="D82" s="73"/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73"/>
      <c r="P82" s="73"/>
      <c r="Q82" s="71"/>
    </row>
    <row r="83" spans="1:17" s="47" customFormat="1" ht="10.199999999999999" x14ac:dyDescent="0.2">
      <c r="A83" s="72"/>
      <c r="B83" s="45"/>
      <c r="C83" s="73"/>
      <c r="D83" s="73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  <c r="P83" s="73"/>
      <c r="Q83" s="71"/>
    </row>
    <row r="84" spans="1:17" s="47" customFormat="1" ht="10.199999999999999" x14ac:dyDescent="0.2">
      <c r="A84" s="72"/>
      <c r="B84" s="45"/>
      <c r="C84" s="73"/>
      <c r="D84" s="73"/>
      <c r="E84" s="73"/>
      <c r="F84" s="73"/>
      <c r="G84" s="73"/>
      <c r="H84" s="73"/>
      <c r="I84" s="73"/>
      <c r="J84" s="73"/>
      <c r="K84" s="73"/>
      <c r="L84" s="73"/>
      <c r="M84" s="73"/>
      <c r="N84" s="73"/>
      <c r="O84" s="73"/>
      <c r="P84" s="73"/>
      <c r="Q84" s="71"/>
    </row>
    <row r="85" spans="1:17" s="47" customFormat="1" ht="10.199999999999999" x14ac:dyDescent="0.2">
      <c r="A85" s="72"/>
      <c r="B85" s="45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  <c r="P85" s="73"/>
      <c r="Q85" s="71"/>
    </row>
    <row r="86" spans="1:17" s="47" customFormat="1" ht="10.199999999999999" x14ac:dyDescent="0.2">
      <c r="A86" s="72"/>
      <c r="B86" s="45"/>
      <c r="C86" s="73"/>
      <c r="D86" s="73"/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73"/>
      <c r="P86" s="73"/>
      <c r="Q86" s="71"/>
    </row>
    <row r="87" spans="1:17" s="47" customFormat="1" ht="10.199999999999999" x14ac:dyDescent="0.2">
      <c r="A87" s="72"/>
      <c r="B87" s="45"/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1"/>
    </row>
    <row r="88" spans="1:17" s="47" customFormat="1" ht="10.199999999999999" x14ac:dyDescent="0.2">
      <c r="A88" s="72"/>
      <c r="B88" s="45"/>
      <c r="C88" s="73"/>
      <c r="D88" s="73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73"/>
      <c r="Q88" s="71"/>
    </row>
    <row r="89" spans="1:17" s="47" customFormat="1" ht="10.199999999999999" x14ac:dyDescent="0.2">
      <c r="A89" s="72"/>
      <c r="B89" s="45"/>
      <c r="C89" s="73"/>
      <c r="D89" s="73"/>
      <c r="E89" s="73"/>
      <c r="F89" s="73"/>
      <c r="G89" s="73"/>
      <c r="H89" s="73"/>
      <c r="I89" s="73"/>
      <c r="J89" s="73"/>
      <c r="K89" s="73"/>
      <c r="L89" s="73"/>
      <c r="M89" s="73"/>
      <c r="N89" s="73"/>
      <c r="O89" s="73"/>
      <c r="P89" s="73"/>
      <c r="Q89" s="71"/>
    </row>
    <row r="90" spans="1:17" s="47" customFormat="1" ht="10.199999999999999" x14ac:dyDescent="0.2">
      <c r="A90" s="72"/>
      <c r="B90" s="45"/>
      <c r="C90" s="73"/>
      <c r="D90" s="73"/>
      <c r="E90" s="73"/>
      <c r="F90" s="73"/>
      <c r="G90" s="73"/>
      <c r="H90" s="73"/>
      <c r="I90" s="73"/>
      <c r="J90" s="73"/>
      <c r="K90" s="73"/>
      <c r="L90" s="73"/>
      <c r="M90" s="73"/>
      <c r="N90" s="73"/>
      <c r="O90" s="73"/>
      <c r="P90" s="73"/>
      <c r="Q90" s="71"/>
    </row>
    <row r="91" spans="1:17" s="47" customFormat="1" ht="10.199999999999999" x14ac:dyDescent="0.2">
      <c r="A91" s="72"/>
      <c r="B91" s="45"/>
      <c r="C91" s="73"/>
      <c r="D91" s="73"/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1"/>
    </row>
    <row r="92" spans="1:17" s="47" customFormat="1" ht="10.199999999999999" x14ac:dyDescent="0.2">
      <c r="A92" s="72"/>
      <c r="B92" s="45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73"/>
      <c r="Q92" s="71"/>
    </row>
    <row r="93" spans="1:17" s="47" customFormat="1" ht="10.199999999999999" x14ac:dyDescent="0.2">
      <c r="A93" s="72"/>
      <c r="B93" s="45"/>
      <c r="C93" s="73"/>
      <c r="D93" s="73"/>
      <c r="E93" s="73"/>
      <c r="F93" s="73"/>
      <c r="G93" s="73"/>
      <c r="H93" s="73"/>
      <c r="I93" s="73"/>
      <c r="J93" s="73"/>
      <c r="K93" s="73"/>
      <c r="L93" s="73"/>
      <c r="M93" s="73"/>
      <c r="N93" s="73"/>
      <c r="O93" s="73"/>
      <c r="P93" s="73"/>
      <c r="Q93" s="71"/>
    </row>
    <row r="94" spans="1:17" s="47" customFormat="1" ht="10.199999999999999" x14ac:dyDescent="0.2">
      <c r="A94" s="72"/>
      <c r="B94" s="45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73"/>
      <c r="N94" s="73"/>
      <c r="O94" s="73"/>
      <c r="P94" s="73"/>
      <c r="Q94" s="71"/>
    </row>
    <row r="95" spans="1:17" s="47" customFormat="1" ht="10.199999999999999" x14ac:dyDescent="0.2">
      <c r="A95" s="72"/>
      <c r="B95" s="45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73"/>
      <c r="N95" s="73"/>
      <c r="O95" s="73"/>
      <c r="P95" s="73"/>
      <c r="Q95" s="71"/>
    </row>
    <row r="96" spans="1:17" s="47" customFormat="1" ht="10.199999999999999" x14ac:dyDescent="0.2">
      <c r="A96" s="72"/>
      <c r="B96" s="45"/>
      <c r="C96" s="73"/>
      <c r="D96" s="73"/>
      <c r="E96" s="73"/>
      <c r="F96" s="73"/>
      <c r="G96" s="73"/>
      <c r="H96" s="73"/>
      <c r="I96" s="73"/>
      <c r="J96" s="73"/>
      <c r="K96" s="73"/>
      <c r="L96" s="73"/>
      <c r="M96" s="73"/>
      <c r="N96" s="73"/>
      <c r="O96" s="73"/>
      <c r="P96" s="73"/>
      <c r="Q96" s="71"/>
    </row>
    <row r="97" spans="2:17" x14ac:dyDescent="0.3">
      <c r="B97" s="31"/>
      <c r="C97" s="70"/>
      <c r="D97" s="70"/>
      <c r="E97" s="70"/>
      <c r="F97" s="70"/>
      <c r="G97" s="70"/>
      <c r="H97" s="70"/>
      <c r="I97" s="70"/>
      <c r="J97" s="70"/>
      <c r="K97" s="70"/>
      <c r="L97" s="70"/>
      <c r="M97" s="70"/>
      <c r="N97" s="70"/>
      <c r="O97" s="70"/>
      <c r="P97" s="70"/>
      <c r="Q97" s="70"/>
    </row>
    <row r="98" spans="2:17" x14ac:dyDescent="0.3">
      <c r="B98" s="31"/>
      <c r="C98" s="70"/>
      <c r="D98" s="70"/>
      <c r="E98" s="70"/>
      <c r="F98" s="70"/>
      <c r="G98" s="70"/>
      <c r="H98" s="70"/>
      <c r="I98" s="70"/>
      <c r="J98" s="70"/>
      <c r="K98" s="70"/>
      <c r="L98" s="70"/>
      <c r="M98" s="70"/>
      <c r="N98" s="70"/>
      <c r="O98" s="70"/>
      <c r="P98" s="70"/>
      <c r="Q98" s="70"/>
    </row>
    <row r="99" spans="2:17" x14ac:dyDescent="0.3">
      <c r="B99" s="31"/>
      <c r="C99" s="70"/>
      <c r="D99" s="70"/>
      <c r="E99" s="70"/>
      <c r="F99" s="70"/>
      <c r="G99" s="70"/>
      <c r="H99" s="70"/>
      <c r="I99" s="70"/>
      <c r="J99" s="70"/>
      <c r="K99" s="70"/>
      <c r="L99" s="70"/>
      <c r="M99" s="70"/>
      <c r="N99" s="70"/>
      <c r="O99" s="70"/>
      <c r="P99" s="70"/>
      <c r="Q99" s="70"/>
    </row>
    <row r="100" spans="2:17" x14ac:dyDescent="0.3">
      <c r="B100" s="31"/>
      <c r="C100" s="70"/>
      <c r="D100" s="70"/>
      <c r="E100" s="70"/>
      <c r="F100" s="70"/>
      <c r="G100" s="70"/>
      <c r="H100" s="70"/>
      <c r="I100" s="70"/>
      <c r="J100" s="70"/>
      <c r="K100" s="70"/>
      <c r="L100" s="70"/>
      <c r="M100" s="70"/>
      <c r="N100" s="70"/>
      <c r="O100" s="70"/>
      <c r="P100" s="70"/>
      <c r="Q100" s="70"/>
    </row>
    <row r="101" spans="2:17" x14ac:dyDescent="0.3">
      <c r="B101" s="31"/>
      <c r="C101" s="70"/>
      <c r="D101" s="70"/>
      <c r="E101" s="70"/>
      <c r="F101" s="70"/>
      <c r="G101" s="70"/>
      <c r="H101" s="70"/>
      <c r="I101" s="70"/>
      <c r="J101" s="70"/>
      <c r="K101" s="70"/>
      <c r="L101" s="70"/>
      <c r="M101" s="70"/>
      <c r="N101" s="70"/>
      <c r="O101" s="70"/>
      <c r="P101" s="70"/>
      <c r="Q101" s="70"/>
    </row>
    <row r="102" spans="2:17" x14ac:dyDescent="0.3">
      <c r="B102" s="31"/>
      <c r="C102" s="70"/>
      <c r="D102" s="70"/>
      <c r="E102" s="70"/>
      <c r="F102" s="70"/>
      <c r="G102" s="70"/>
      <c r="H102" s="70"/>
      <c r="I102" s="70"/>
      <c r="J102" s="70"/>
      <c r="K102" s="70"/>
      <c r="L102" s="70"/>
      <c r="M102" s="70"/>
      <c r="N102" s="70"/>
      <c r="O102" s="70"/>
      <c r="P102" s="70"/>
      <c r="Q102" s="70"/>
    </row>
    <row r="103" spans="2:17" x14ac:dyDescent="0.3">
      <c r="B103" s="31"/>
    </row>
    <row r="104" spans="2:17" x14ac:dyDescent="0.3">
      <c r="B104" s="31"/>
    </row>
    <row r="105" spans="2:17" x14ac:dyDescent="0.3">
      <c r="B105" s="31"/>
    </row>
    <row r="106" spans="2:17" x14ac:dyDescent="0.3">
      <c r="B106" s="31"/>
    </row>
    <row r="107" spans="2:17" x14ac:dyDescent="0.3">
      <c r="B107" s="31"/>
    </row>
    <row r="108" spans="2:17" x14ac:dyDescent="0.3">
      <c r="B108" s="31"/>
    </row>
    <row r="109" spans="2:17" x14ac:dyDescent="0.3">
      <c r="B109" s="31"/>
    </row>
    <row r="110" spans="2:17" x14ac:dyDescent="0.3">
      <c r="B110" s="31"/>
    </row>
    <row r="111" spans="2:17" x14ac:dyDescent="0.3">
      <c r="B111" s="31"/>
    </row>
    <row r="112" spans="2:17" x14ac:dyDescent="0.3">
      <c r="B112" s="31"/>
    </row>
    <row r="113" spans="2:2" x14ac:dyDescent="0.3">
      <c r="B113" s="31"/>
    </row>
    <row r="114" spans="2:2" x14ac:dyDescent="0.3">
      <c r="B114" s="31"/>
    </row>
    <row r="115" spans="2:2" x14ac:dyDescent="0.3">
      <c r="B115" s="31"/>
    </row>
    <row r="116" spans="2:2" x14ac:dyDescent="0.3">
      <c r="B116" s="31"/>
    </row>
    <row r="117" spans="2:2" x14ac:dyDescent="0.3">
      <c r="B117" s="31"/>
    </row>
    <row r="118" spans="2:2" x14ac:dyDescent="0.3">
      <c r="B118" s="31"/>
    </row>
    <row r="119" spans="2:2" x14ac:dyDescent="0.3">
      <c r="B119" s="31"/>
    </row>
    <row r="120" spans="2:2" x14ac:dyDescent="0.3">
      <c r="B120" s="31"/>
    </row>
    <row r="121" spans="2:2" x14ac:dyDescent="0.3">
      <c r="B121" s="31"/>
    </row>
    <row r="122" spans="2:2" x14ac:dyDescent="0.3">
      <c r="B122" s="31"/>
    </row>
    <row r="123" spans="2:2" x14ac:dyDescent="0.3">
      <c r="B123" s="31"/>
    </row>
    <row r="124" spans="2:2" x14ac:dyDescent="0.3">
      <c r="B124" s="31"/>
    </row>
    <row r="125" spans="2:2" x14ac:dyDescent="0.3">
      <c r="B125" s="31"/>
    </row>
    <row r="126" spans="2:2" x14ac:dyDescent="0.3">
      <c r="B126" s="31"/>
    </row>
    <row r="127" spans="2:2" x14ac:dyDescent="0.3">
      <c r="B127" s="31"/>
    </row>
    <row r="128" spans="2:2" x14ac:dyDescent="0.3">
      <c r="B128" s="31"/>
    </row>
    <row r="129" spans="2:2" x14ac:dyDescent="0.3">
      <c r="B129" s="31"/>
    </row>
    <row r="130" spans="2:2" x14ac:dyDescent="0.3">
      <c r="B130" s="31"/>
    </row>
    <row r="131" spans="2:2" x14ac:dyDescent="0.3">
      <c r="B131" s="31"/>
    </row>
    <row r="132" spans="2:2" x14ac:dyDescent="0.3">
      <c r="B132" s="31"/>
    </row>
    <row r="133" spans="2:2" x14ac:dyDescent="0.3">
      <c r="B133" s="31"/>
    </row>
    <row r="134" spans="2:2" x14ac:dyDescent="0.3">
      <c r="B134" s="31"/>
    </row>
    <row r="135" spans="2:2" x14ac:dyDescent="0.3">
      <c r="B135" s="31"/>
    </row>
    <row r="136" spans="2:2" x14ac:dyDescent="0.3">
      <c r="B136" s="31"/>
    </row>
    <row r="137" spans="2:2" x14ac:dyDescent="0.3">
      <c r="B137" s="31"/>
    </row>
    <row r="138" spans="2:2" x14ac:dyDescent="0.3">
      <c r="B138" s="31"/>
    </row>
    <row r="139" spans="2:2" x14ac:dyDescent="0.3">
      <c r="B139" s="31"/>
    </row>
    <row r="140" spans="2:2" x14ac:dyDescent="0.3">
      <c r="B140" s="31"/>
    </row>
    <row r="141" spans="2:2" x14ac:dyDescent="0.3">
      <c r="B141" s="31"/>
    </row>
    <row r="142" spans="2:2" x14ac:dyDescent="0.3">
      <c r="B142" s="31"/>
    </row>
    <row r="143" spans="2:2" x14ac:dyDescent="0.3">
      <c r="B143" s="31"/>
    </row>
    <row r="144" spans="2:2" x14ac:dyDescent="0.3">
      <c r="B144" s="31"/>
    </row>
    <row r="145" spans="2:2" x14ac:dyDescent="0.3">
      <c r="B145" s="31"/>
    </row>
    <row r="146" spans="2:2" x14ac:dyDescent="0.3">
      <c r="B146" s="31"/>
    </row>
    <row r="147" spans="2:2" x14ac:dyDescent="0.3">
      <c r="B147" s="31"/>
    </row>
    <row r="148" spans="2:2" x14ac:dyDescent="0.3">
      <c r="B148" s="31"/>
    </row>
    <row r="149" spans="2:2" x14ac:dyDescent="0.3">
      <c r="B149" s="31"/>
    </row>
    <row r="150" spans="2:2" x14ac:dyDescent="0.3">
      <c r="B150" s="31"/>
    </row>
    <row r="151" spans="2:2" x14ac:dyDescent="0.3">
      <c r="B151" s="31"/>
    </row>
    <row r="152" spans="2:2" x14ac:dyDescent="0.3">
      <c r="B152" s="31"/>
    </row>
    <row r="153" spans="2:2" x14ac:dyDescent="0.3">
      <c r="B153" s="31"/>
    </row>
    <row r="154" spans="2:2" x14ac:dyDescent="0.3">
      <c r="B154" s="31"/>
    </row>
    <row r="155" spans="2:2" x14ac:dyDescent="0.3">
      <c r="B155" s="31"/>
    </row>
    <row r="156" spans="2:2" x14ac:dyDescent="0.3">
      <c r="B156" s="31"/>
    </row>
    <row r="157" spans="2:2" x14ac:dyDescent="0.3">
      <c r="B157" s="31"/>
    </row>
    <row r="158" spans="2:2" x14ac:dyDescent="0.3">
      <c r="B158" s="31"/>
    </row>
    <row r="159" spans="2:2" x14ac:dyDescent="0.3">
      <c r="B159" s="31"/>
    </row>
    <row r="160" spans="2:2" x14ac:dyDescent="0.3">
      <c r="B160" s="31"/>
    </row>
    <row r="161" spans="2:2" x14ac:dyDescent="0.3">
      <c r="B161" s="31"/>
    </row>
    <row r="162" spans="2:2" x14ac:dyDescent="0.3">
      <c r="B162" s="31"/>
    </row>
    <row r="163" spans="2:2" x14ac:dyDescent="0.3">
      <c r="B163" s="31"/>
    </row>
    <row r="164" spans="2:2" x14ac:dyDescent="0.3">
      <c r="B164" s="31"/>
    </row>
    <row r="165" spans="2:2" x14ac:dyDescent="0.3">
      <c r="B165" s="31"/>
    </row>
    <row r="166" spans="2:2" x14ac:dyDescent="0.3">
      <c r="B166" s="31"/>
    </row>
    <row r="167" spans="2:2" x14ac:dyDescent="0.3">
      <c r="B167" s="31"/>
    </row>
    <row r="168" spans="2:2" x14ac:dyDescent="0.3">
      <c r="B168" s="31"/>
    </row>
    <row r="169" spans="2:2" x14ac:dyDescent="0.3">
      <c r="B169" s="31"/>
    </row>
    <row r="170" spans="2:2" x14ac:dyDescent="0.3">
      <c r="B170" s="31"/>
    </row>
    <row r="171" spans="2:2" x14ac:dyDescent="0.3">
      <c r="B171" s="31"/>
    </row>
    <row r="172" spans="2:2" x14ac:dyDescent="0.3">
      <c r="B172" s="31"/>
    </row>
    <row r="173" spans="2:2" x14ac:dyDescent="0.3">
      <c r="B173" s="31"/>
    </row>
    <row r="174" spans="2:2" x14ac:dyDescent="0.3">
      <c r="B174" s="31"/>
    </row>
    <row r="175" spans="2:2" x14ac:dyDescent="0.3">
      <c r="B175" s="31"/>
    </row>
    <row r="176" spans="2:2" x14ac:dyDescent="0.3">
      <c r="B176" s="31"/>
    </row>
    <row r="177" spans="2:2" x14ac:dyDescent="0.3">
      <c r="B177" s="31"/>
    </row>
    <row r="178" spans="2:2" x14ac:dyDescent="0.3">
      <c r="B178" s="31"/>
    </row>
    <row r="179" spans="2:2" x14ac:dyDescent="0.3">
      <c r="B179" s="31"/>
    </row>
    <row r="180" spans="2:2" x14ac:dyDescent="0.3">
      <c r="B180" s="31"/>
    </row>
    <row r="181" spans="2:2" x14ac:dyDescent="0.3">
      <c r="B181" s="31"/>
    </row>
    <row r="182" spans="2:2" x14ac:dyDescent="0.3">
      <c r="B182" s="31"/>
    </row>
    <row r="183" spans="2:2" x14ac:dyDescent="0.3">
      <c r="B183" s="31"/>
    </row>
    <row r="184" spans="2:2" x14ac:dyDescent="0.3">
      <c r="B184" s="31"/>
    </row>
    <row r="185" spans="2:2" x14ac:dyDescent="0.3">
      <c r="B185" s="31"/>
    </row>
    <row r="186" spans="2:2" x14ac:dyDescent="0.3">
      <c r="B186" s="31"/>
    </row>
    <row r="187" spans="2:2" x14ac:dyDescent="0.3">
      <c r="B187" s="31"/>
    </row>
    <row r="188" spans="2:2" x14ac:dyDescent="0.3">
      <c r="B188" s="31"/>
    </row>
    <row r="189" spans="2:2" x14ac:dyDescent="0.3">
      <c r="B189" s="31"/>
    </row>
    <row r="190" spans="2:2" x14ac:dyDescent="0.3">
      <c r="B190" s="31"/>
    </row>
    <row r="191" spans="2:2" x14ac:dyDescent="0.3">
      <c r="B191" s="31"/>
    </row>
    <row r="192" spans="2:2" x14ac:dyDescent="0.3">
      <c r="B192" s="31"/>
    </row>
    <row r="193" spans="2:2" x14ac:dyDescent="0.3">
      <c r="B193" s="31"/>
    </row>
    <row r="194" spans="2:2" x14ac:dyDescent="0.3">
      <c r="B194" s="31"/>
    </row>
    <row r="195" spans="2:2" x14ac:dyDescent="0.3">
      <c r="B195" s="31"/>
    </row>
    <row r="196" spans="2:2" x14ac:dyDescent="0.3">
      <c r="B196" s="31"/>
    </row>
    <row r="197" spans="2:2" x14ac:dyDescent="0.3">
      <c r="B197" s="31"/>
    </row>
    <row r="198" spans="2:2" x14ac:dyDescent="0.3">
      <c r="B198" s="31"/>
    </row>
    <row r="199" spans="2:2" x14ac:dyDescent="0.3">
      <c r="B199" s="31"/>
    </row>
    <row r="200" spans="2:2" x14ac:dyDescent="0.3">
      <c r="B200" s="31"/>
    </row>
    <row r="201" spans="2:2" x14ac:dyDescent="0.3">
      <c r="B201" s="31"/>
    </row>
    <row r="202" spans="2:2" x14ac:dyDescent="0.3">
      <c r="B202" s="31"/>
    </row>
    <row r="203" spans="2:2" x14ac:dyDescent="0.3">
      <c r="B203" s="31"/>
    </row>
    <row r="204" spans="2:2" x14ac:dyDescent="0.3">
      <c r="B204" s="31"/>
    </row>
    <row r="205" spans="2:2" x14ac:dyDescent="0.3">
      <c r="B205" s="31"/>
    </row>
    <row r="206" spans="2:2" x14ac:dyDescent="0.3">
      <c r="B206" s="31"/>
    </row>
    <row r="207" spans="2:2" x14ac:dyDescent="0.3">
      <c r="B207" s="31"/>
    </row>
    <row r="208" spans="2:2" x14ac:dyDescent="0.3">
      <c r="B208" s="31"/>
    </row>
    <row r="209" spans="2:2" x14ac:dyDescent="0.3">
      <c r="B209" s="31"/>
    </row>
    <row r="210" spans="2:2" x14ac:dyDescent="0.3">
      <c r="B210" s="31"/>
    </row>
    <row r="211" spans="2:2" x14ac:dyDescent="0.3">
      <c r="B211" s="31"/>
    </row>
    <row r="212" spans="2:2" x14ac:dyDescent="0.3">
      <c r="B212" s="31"/>
    </row>
    <row r="213" spans="2:2" x14ac:dyDescent="0.3">
      <c r="B213" s="31"/>
    </row>
    <row r="214" spans="2:2" x14ac:dyDescent="0.3">
      <c r="B214" s="31"/>
    </row>
    <row r="215" spans="2:2" x14ac:dyDescent="0.3">
      <c r="B215" s="31"/>
    </row>
    <row r="216" spans="2:2" x14ac:dyDescent="0.3">
      <c r="B216" s="31"/>
    </row>
    <row r="217" spans="2:2" x14ac:dyDescent="0.3">
      <c r="B217" s="31"/>
    </row>
    <row r="218" spans="2:2" x14ac:dyDescent="0.3">
      <c r="B218" s="31"/>
    </row>
    <row r="219" spans="2:2" x14ac:dyDescent="0.3">
      <c r="B219" s="31"/>
    </row>
    <row r="220" spans="2:2" x14ac:dyDescent="0.3">
      <c r="B220" s="31"/>
    </row>
    <row r="221" spans="2:2" x14ac:dyDescent="0.3">
      <c r="B221" s="31"/>
    </row>
    <row r="222" spans="2:2" x14ac:dyDescent="0.3">
      <c r="B222" s="31"/>
    </row>
    <row r="223" spans="2:2" x14ac:dyDescent="0.3">
      <c r="B223" s="31"/>
    </row>
    <row r="224" spans="2:2" x14ac:dyDescent="0.3">
      <c r="B224" s="31"/>
    </row>
    <row r="225" spans="2:2" x14ac:dyDescent="0.3">
      <c r="B225" s="31"/>
    </row>
    <row r="226" spans="2:2" x14ac:dyDescent="0.3">
      <c r="B226" s="31"/>
    </row>
    <row r="227" spans="2:2" x14ac:dyDescent="0.3">
      <c r="B227" s="31"/>
    </row>
    <row r="228" spans="2:2" x14ac:dyDescent="0.3">
      <c r="B228" s="31"/>
    </row>
    <row r="229" spans="2:2" x14ac:dyDescent="0.3">
      <c r="B229" s="31"/>
    </row>
    <row r="230" spans="2:2" x14ac:dyDescent="0.3">
      <c r="B230" s="31"/>
    </row>
    <row r="231" spans="2:2" x14ac:dyDescent="0.3">
      <c r="B231" s="31"/>
    </row>
    <row r="232" spans="2:2" x14ac:dyDescent="0.3">
      <c r="B232" s="31"/>
    </row>
    <row r="233" spans="2:2" x14ac:dyDescent="0.3">
      <c r="B233" s="31"/>
    </row>
    <row r="234" spans="2:2" x14ac:dyDescent="0.3">
      <c r="B234" s="31"/>
    </row>
    <row r="235" spans="2:2" x14ac:dyDescent="0.3">
      <c r="B235" s="31"/>
    </row>
    <row r="236" spans="2:2" x14ac:dyDescent="0.3">
      <c r="B236" s="31"/>
    </row>
    <row r="237" spans="2:2" x14ac:dyDescent="0.3">
      <c r="B237" s="31"/>
    </row>
    <row r="238" spans="2:2" x14ac:dyDescent="0.3">
      <c r="B238" s="31"/>
    </row>
    <row r="239" spans="2:2" x14ac:dyDescent="0.3">
      <c r="B239" s="31"/>
    </row>
    <row r="240" spans="2:2" x14ac:dyDescent="0.3">
      <c r="B240" s="31"/>
    </row>
    <row r="241" spans="2:2" x14ac:dyDescent="0.3">
      <c r="B241" s="31"/>
    </row>
    <row r="242" spans="2:2" x14ac:dyDescent="0.3">
      <c r="B242" s="31"/>
    </row>
    <row r="243" spans="2:2" x14ac:dyDescent="0.3">
      <c r="B243" s="31"/>
    </row>
    <row r="244" spans="2:2" x14ac:dyDescent="0.3">
      <c r="B244" s="31"/>
    </row>
    <row r="245" spans="2:2" x14ac:dyDescent="0.3">
      <c r="B245" s="31"/>
    </row>
    <row r="246" spans="2:2" x14ac:dyDescent="0.3">
      <c r="B246" s="31"/>
    </row>
    <row r="247" spans="2:2" x14ac:dyDescent="0.3">
      <c r="B247" s="31"/>
    </row>
    <row r="248" spans="2:2" x14ac:dyDescent="0.3">
      <c r="B248" s="31"/>
    </row>
    <row r="249" spans="2:2" x14ac:dyDescent="0.3">
      <c r="B249" s="31"/>
    </row>
    <row r="250" spans="2:2" x14ac:dyDescent="0.3">
      <c r="B250" s="31"/>
    </row>
    <row r="251" spans="2:2" x14ac:dyDescent="0.3">
      <c r="B251" s="31"/>
    </row>
    <row r="252" spans="2:2" x14ac:dyDescent="0.3">
      <c r="B252" s="31"/>
    </row>
    <row r="253" spans="2:2" x14ac:dyDescent="0.3">
      <c r="B253" s="31"/>
    </row>
    <row r="254" spans="2:2" x14ac:dyDescent="0.3">
      <c r="B254" s="31"/>
    </row>
    <row r="255" spans="2:2" x14ac:dyDescent="0.3">
      <c r="B255" s="31"/>
    </row>
    <row r="256" spans="2:2" x14ac:dyDescent="0.3">
      <c r="B256" s="31"/>
    </row>
    <row r="257" spans="2:2" x14ac:dyDescent="0.3">
      <c r="B257" s="31"/>
    </row>
    <row r="258" spans="2:2" x14ac:dyDescent="0.3">
      <c r="B258" s="31"/>
    </row>
    <row r="259" spans="2:2" x14ac:dyDescent="0.3">
      <c r="B259" s="31"/>
    </row>
    <row r="260" spans="2:2" x14ac:dyDescent="0.3">
      <c r="B260" s="31"/>
    </row>
    <row r="261" spans="2:2" x14ac:dyDescent="0.3">
      <c r="B261" s="31"/>
    </row>
    <row r="262" spans="2:2" x14ac:dyDescent="0.3">
      <c r="B262" s="31"/>
    </row>
    <row r="263" spans="2:2" x14ac:dyDescent="0.3">
      <c r="B263" s="31"/>
    </row>
    <row r="264" spans="2:2" x14ac:dyDescent="0.3">
      <c r="B264" s="31"/>
    </row>
    <row r="265" spans="2:2" x14ac:dyDescent="0.3">
      <c r="B265" s="31"/>
    </row>
    <row r="266" spans="2:2" x14ac:dyDescent="0.3">
      <c r="B266" s="31"/>
    </row>
    <row r="267" spans="2:2" x14ac:dyDescent="0.3">
      <c r="B267" s="31"/>
    </row>
    <row r="268" spans="2:2" x14ac:dyDescent="0.3">
      <c r="B268" s="31"/>
    </row>
    <row r="269" spans="2:2" x14ac:dyDescent="0.3">
      <c r="B269" s="31"/>
    </row>
    <row r="270" spans="2:2" x14ac:dyDescent="0.3">
      <c r="B270" s="31"/>
    </row>
    <row r="271" spans="2:2" x14ac:dyDescent="0.3">
      <c r="B271" s="31"/>
    </row>
    <row r="272" spans="2:2" x14ac:dyDescent="0.3">
      <c r="B272" s="31"/>
    </row>
    <row r="273" spans="2:2" x14ac:dyDescent="0.3">
      <c r="B273" s="31"/>
    </row>
    <row r="274" spans="2:2" x14ac:dyDescent="0.3">
      <c r="B274" s="31"/>
    </row>
    <row r="275" spans="2:2" x14ac:dyDescent="0.3">
      <c r="B275" s="31"/>
    </row>
    <row r="276" spans="2:2" x14ac:dyDescent="0.3">
      <c r="B276" s="31"/>
    </row>
    <row r="277" spans="2:2" x14ac:dyDescent="0.3">
      <c r="B277" s="31"/>
    </row>
    <row r="278" spans="2:2" x14ac:dyDescent="0.3">
      <c r="B278" s="31"/>
    </row>
    <row r="279" spans="2:2" x14ac:dyDescent="0.3">
      <c r="B279" s="31"/>
    </row>
    <row r="280" spans="2:2" x14ac:dyDescent="0.3">
      <c r="B280" s="31"/>
    </row>
    <row r="281" spans="2:2" x14ac:dyDescent="0.3">
      <c r="B281" s="31"/>
    </row>
    <row r="282" spans="2:2" x14ac:dyDescent="0.3">
      <c r="B282" s="31"/>
    </row>
    <row r="283" spans="2:2" x14ac:dyDescent="0.3">
      <c r="B283" s="31"/>
    </row>
    <row r="284" spans="2:2" x14ac:dyDescent="0.3">
      <c r="B284" s="31"/>
    </row>
    <row r="285" spans="2:2" x14ac:dyDescent="0.3">
      <c r="B285" s="31"/>
    </row>
    <row r="286" spans="2:2" x14ac:dyDescent="0.3">
      <c r="B286" s="31"/>
    </row>
    <row r="287" spans="2:2" x14ac:dyDescent="0.3">
      <c r="B287" s="31"/>
    </row>
    <row r="288" spans="2:2" x14ac:dyDescent="0.3">
      <c r="B288" s="31"/>
    </row>
    <row r="289" spans="2:2" x14ac:dyDescent="0.3">
      <c r="B289" s="31"/>
    </row>
    <row r="290" spans="2:2" x14ac:dyDescent="0.3">
      <c r="B290" s="31"/>
    </row>
    <row r="291" spans="2:2" x14ac:dyDescent="0.3">
      <c r="B291" s="31"/>
    </row>
    <row r="292" spans="2:2" x14ac:dyDescent="0.3">
      <c r="B292" s="31"/>
    </row>
    <row r="293" spans="2:2" x14ac:dyDescent="0.3">
      <c r="B293" s="31"/>
    </row>
    <row r="294" spans="2:2" x14ac:dyDescent="0.3">
      <c r="B294" s="31"/>
    </row>
    <row r="295" spans="2:2" x14ac:dyDescent="0.3">
      <c r="B295" s="31"/>
    </row>
    <row r="296" spans="2:2" x14ac:dyDescent="0.3">
      <c r="B296" s="31"/>
    </row>
    <row r="297" spans="2:2" x14ac:dyDescent="0.3">
      <c r="B297" s="31"/>
    </row>
    <row r="298" spans="2:2" x14ac:dyDescent="0.3">
      <c r="B298" s="31"/>
    </row>
    <row r="299" spans="2:2" x14ac:dyDescent="0.3">
      <c r="B299" s="31"/>
    </row>
    <row r="300" spans="2:2" x14ac:dyDescent="0.3">
      <c r="B300" s="31"/>
    </row>
    <row r="301" spans="2:2" x14ac:dyDescent="0.3">
      <c r="B301" s="31"/>
    </row>
    <row r="302" spans="2:2" x14ac:dyDescent="0.3">
      <c r="B302" s="31"/>
    </row>
    <row r="303" spans="2:2" x14ac:dyDescent="0.3">
      <c r="B303" s="31"/>
    </row>
    <row r="304" spans="2:2" x14ac:dyDescent="0.3">
      <c r="B304" s="31"/>
    </row>
    <row r="305" spans="2:2" x14ac:dyDescent="0.3">
      <c r="B305" s="31"/>
    </row>
    <row r="306" spans="2:2" x14ac:dyDescent="0.3">
      <c r="B306" s="31"/>
    </row>
    <row r="307" spans="2:2" x14ac:dyDescent="0.3">
      <c r="B307" s="31"/>
    </row>
    <row r="308" spans="2:2" x14ac:dyDescent="0.3">
      <c r="B308" s="31"/>
    </row>
    <row r="309" spans="2:2" x14ac:dyDescent="0.3">
      <c r="B309" s="31"/>
    </row>
    <row r="310" spans="2:2" x14ac:dyDescent="0.3">
      <c r="B310" s="31"/>
    </row>
    <row r="311" spans="2:2" x14ac:dyDescent="0.3">
      <c r="B311" s="31"/>
    </row>
    <row r="312" spans="2:2" x14ac:dyDescent="0.3">
      <c r="B312" s="31"/>
    </row>
    <row r="313" spans="2:2" x14ac:dyDescent="0.3">
      <c r="B313" s="31"/>
    </row>
    <row r="314" spans="2:2" x14ac:dyDescent="0.3">
      <c r="B314" s="31"/>
    </row>
    <row r="315" spans="2:2" x14ac:dyDescent="0.3">
      <c r="B315" s="31"/>
    </row>
    <row r="316" spans="2:2" x14ac:dyDescent="0.3">
      <c r="B316" s="31"/>
    </row>
    <row r="317" spans="2:2" x14ac:dyDescent="0.3">
      <c r="B317" s="31"/>
    </row>
    <row r="318" spans="2:2" x14ac:dyDescent="0.3">
      <c r="B318" s="31"/>
    </row>
    <row r="319" spans="2:2" x14ac:dyDescent="0.3">
      <c r="B319" s="31"/>
    </row>
    <row r="320" spans="2:2" x14ac:dyDescent="0.3">
      <c r="B320" s="31"/>
    </row>
    <row r="321" spans="2:2" x14ac:dyDescent="0.3">
      <c r="B321" s="31"/>
    </row>
    <row r="322" spans="2:2" x14ac:dyDescent="0.3">
      <c r="B322" s="31"/>
    </row>
    <row r="323" spans="2:2" x14ac:dyDescent="0.3">
      <c r="B323" s="31"/>
    </row>
    <row r="324" spans="2:2" x14ac:dyDescent="0.3">
      <c r="B324" s="31"/>
    </row>
    <row r="325" spans="2:2" x14ac:dyDescent="0.3">
      <c r="B325" s="31"/>
    </row>
    <row r="326" spans="2:2" x14ac:dyDescent="0.3">
      <c r="B326" s="31"/>
    </row>
    <row r="327" spans="2:2" x14ac:dyDescent="0.3">
      <c r="B327" s="31"/>
    </row>
    <row r="328" spans="2:2" x14ac:dyDescent="0.3">
      <c r="B328" s="31"/>
    </row>
    <row r="329" spans="2:2" x14ac:dyDescent="0.3">
      <c r="B329" s="31"/>
    </row>
    <row r="330" spans="2:2" x14ac:dyDescent="0.3">
      <c r="B330" s="31"/>
    </row>
    <row r="331" spans="2:2" x14ac:dyDescent="0.3">
      <c r="B331" s="31"/>
    </row>
    <row r="332" spans="2:2" x14ac:dyDescent="0.3">
      <c r="B332" s="31"/>
    </row>
    <row r="333" spans="2:2" x14ac:dyDescent="0.3">
      <c r="B333" s="31"/>
    </row>
    <row r="334" spans="2:2" x14ac:dyDescent="0.3">
      <c r="B334" s="31"/>
    </row>
    <row r="335" spans="2:2" x14ac:dyDescent="0.3">
      <c r="B335" s="31"/>
    </row>
    <row r="336" spans="2:2" x14ac:dyDescent="0.3">
      <c r="B336" s="31"/>
    </row>
    <row r="337" spans="2:2" x14ac:dyDescent="0.3">
      <c r="B337" s="31"/>
    </row>
    <row r="338" spans="2:2" x14ac:dyDescent="0.3">
      <c r="B338" s="31"/>
    </row>
    <row r="339" spans="2:2" x14ac:dyDescent="0.3">
      <c r="B339" s="31"/>
    </row>
    <row r="340" spans="2:2" x14ac:dyDescent="0.3">
      <c r="B340" s="31"/>
    </row>
    <row r="341" spans="2:2" x14ac:dyDescent="0.3">
      <c r="B341" s="31"/>
    </row>
    <row r="342" spans="2:2" x14ac:dyDescent="0.3">
      <c r="B342" s="31"/>
    </row>
    <row r="343" spans="2:2" x14ac:dyDescent="0.3">
      <c r="B343" s="31"/>
    </row>
    <row r="344" spans="2:2" x14ac:dyDescent="0.3">
      <c r="B344" s="31"/>
    </row>
    <row r="345" spans="2:2" x14ac:dyDescent="0.3">
      <c r="B345" s="31"/>
    </row>
    <row r="346" spans="2:2" x14ac:dyDescent="0.3">
      <c r="B346" s="31"/>
    </row>
    <row r="347" spans="2:2" x14ac:dyDescent="0.3">
      <c r="B347" s="31"/>
    </row>
    <row r="348" spans="2:2" x14ac:dyDescent="0.3">
      <c r="B348" s="31"/>
    </row>
    <row r="349" spans="2:2" x14ac:dyDescent="0.3">
      <c r="B349" s="31"/>
    </row>
    <row r="350" spans="2:2" x14ac:dyDescent="0.3">
      <c r="B350" s="31"/>
    </row>
    <row r="351" spans="2:2" x14ac:dyDescent="0.3">
      <c r="B351" s="31"/>
    </row>
    <row r="352" spans="2:2" x14ac:dyDescent="0.3">
      <c r="B352" s="31"/>
    </row>
    <row r="353" spans="2:2" x14ac:dyDescent="0.3">
      <c r="B353" s="31"/>
    </row>
    <row r="354" spans="2:2" x14ac:dyDescent="0.3">
      <c r="B354" s="31"/>
    </row>
    <row r="355" spans="2:2" x14ac:dyDescent="0.3">
      <c r="B355" s="31"/>
    </row>
    <row r="356" spans="2:2" x14ac:dyDescent="0.3">
      <c r="B356" s="31"/>
    </row>
    <row r="357" spans="2:2" x14ac:dyDescent="0.3">
      <c r="B357" s="31"/>
    </row>
    <row r="358" spans="2:2" x14ac:dyDescent="0.3">
      <c r="B358" s="31"/>
    </row>
    <row r="359" spans="2:2" x14ac:dyDescent="0.3">
      <c r="B359" s="31"/>
    </row>
    <row r="360" spans="2:2" x14ac:dyDescent="0.3">
      <c r="B360" s="31"/>
    </row>
    <row r="361" spans="2:2" x14ac:dyDescent="0.3">
      <c r="B361" s="31"/>
    </row>
    <row r="362" spans="2:2" x14ac:dyDescent="0.3">
      <c r="B362" s="31"/>
    </row>
    <row r="363" spans="2:2" x14ac:dyDescent="0.3">
      <c r="B363" s="31"/>
    </row>
    <row r="364" spans="2:2" x14ac:dyDescent="0.3">
      <c r="B364" s="31"/>
    </row>
    <row r="365" spans="2:2" x14ac:dyDescent="0.3">
      <c r="B365" s="31"/>
    </row>
    <row r="366" spans="2:2" x14ac:dyDescent="0.3">
      <c r="B366" s="31"/>
    </row>
    <row r="367" spans="2:2" x14ac:dyDescent="0.3">
      <c r="B367" s="31"/>
    </row>
    <row r="368" spans="2:2" x14ac:dyDescent="0.3">
      <c r="B368" s="31"/>
    </row>
    <row r="369" spans="2:2" x14ac:dyDescent="0.3">
      <c r="B369" s="31"/>
    </row>
    <row r="370" spans="2:2" x14ac:dyDescent="0.3">
      <c r="B370" s="31"/>
    </row>
    <row r="371" spans="2:2" x14ac:dyDescent="0.3">
      <c r="B371" s="31"/>
    </row>
    <row r="372" spans="2:2" x14ac:dyDescent="0.3">
      <c r="B372" s="31"/>
    </row>
    <row r="373" spans="2:2" x14ac:dyDescent="0.3">
      <c r="B373" s="31"/>
    </row>
    <row r="374" spans="2:2" x14ac:dyDescent="0.3">
      <c r="B374" s="31"/>
    </row>
    <row r="375" spans="2:2" x14ac:dyDescent="0.3">
      <c r="B375" s="31"/>
    </row>
    <row r="376" spans="2:2" x14ac:dyDescent="0.3">
      <c r="B376" s="31"/>
    </row>
    <row r="377" spans="2:2" x14ac:dyDescent="0.3">
      <c r="B377" s="31"/>
    </row>
    <row r="378" spans="2:2" x14ac:dyDescent="0.3">
      <c r="B378" s="31"/>
    </row>
    <row r="379" spans="2:2" x14ac:dyDescent="0.3">
      <c r="B379" s="31"/>
    </row>
    <row r="380" spans="2:2" x14ac:dyDescent="0.3">
      <c r="B380" s="31"/>
    </row>
    <row r="381" spans="2:2" x14ac:dyDescent="0.3">
      <c r="B381" s="31"/>
    </row>
    <row r="382" spans="2:2" x14ac:dyDescent="0.3">
      <c r="B382" s="31"/>
    </row>
    <row r="383" spans="2:2" x14ac:dyDescent="0.3">
      <c r="B383" s="31"/>
    </row>
    <row r="384" spans="2:2" x14ac:dyDescent="0.3">
      <c r="B384" s="31"/>
    </row>
    <row r="385" spans="2:2" x14ac:dyDescent="0.3">
      <c r="B385" s="31"/>
    </row>
    <row r="386" spans="2:2" x14ac:dyDescent="0.3">
      <c r="B386" s="31"/>
    </row>
    <row r="387" spans="2:2" x14ac:dyDescent="0.3">
      <c r="B387" s="31"/>
    </row>
    <row r="388" spans="2:2" x14ac:dyDescent="0.3">
      <c r="B388" s="31"/>
    </row>
    <row r="389" spans="2:2" x14ac:dyDescent="0.3">
      <c r="B389" s="31"/>
    </row>
    <row r="390" spans="2:2" x14ac:dyDescent="0.3">
      <c r="B390" s="31"/>
    </row>
    <row r="391" spans="2:2" x14ac:dyDescent="0.3">
      <c r="B391" s="31"/>
    </row>
    <row r="392" spans="2:2" x14ac:dyDescent="0.3">
      <c r="B392" s="31"/>
    </row>
    <row r="393" spans="2:2" x14ac:dyDescent="0.3">
      <c r="B393" s="31"/>
    </row>
    <row r="394" spans="2:2" x14ac:dyDescent="0.3">
      <c r="B394" s="31"/>
    </row>
    <row r="395" spans="2:2" x14ac:dyDescent="0.3">
      <c r="B395" s="31"/>
    </row>
    <row r="396" spans="2:2" x14ac:dyDescent="0.3">
      <c r="B396" s="31"/>
    </row>
    <row r="397" spans="2:2" x14ac:dyDescent="0.3">
      <c r="B397" s="31"/>
    </row>
    <row r="398" spans="2:2" x14ac:dyDescent="0.3">
      <c r="B398" s="31"/>
    </row>
    <row r="399" spans="2:2" x14ac:dyDescent="0.3">
      <c r="B399" s="31"/>
    </row>
    <row r="400" spans="2:2" x14ac:dyDescent="0.3">
      <c r="B400" s="31"/>
    </row>
    <row r="401" spans="2:2" x14ac:dyDescent="0.3">
      <c r="B401" s="31"/>
    </row>
    <row r="402" spans="2:2" x14ac:dyDescent="0.3">
      <c r="B402" s="31"/>
    </row>
    <row r="403" spans="2:2" x14ac:dyDescent="0.3">
      <c r="B403" s="31"/>
    </row>
    <row r="404" spans="2:2" x14ac:dyDescent="0.3">
      <c r="B404" s="31"/>
    </row>
    <row r="405" spans="2:2" x14ac:dyDescent="0.3">
      <c r="B405" s="31"/>
    </row>
    <row r="406" spans="2:2" x14ac:dyDescent="0.3">
      <c r="B406" s="31"/>
    </row>
    <row r="407" spans="2:2" x14ac:dyDescent="0.3">
      <c r="B407" s="31"/>
    </row>
    <row r="408" spans="2:2" x14ac:dyDescent="0.3">
      <c r="B408" s="31"/>
    </row>
    <row r="409" spans="2:2" x14ac:dyDescent="0.3">
      <c r="B409" s="31"/>
    </row>
    <row r="410" spans="2:2" x14ac:dyDescent="0.3">
      <c r="B410" s="31"/>
    </row>
    <row r="411" spans="2:2" x14ac:dyDescent="0.3">
      <c r="B411" s="31"/>
    </row>
    <row r="412" spans="2:2" x14ac:dyDescent="0.3">
      <c r="B412" s="31"/>
    </row>
    <row r="413" spans="2:2" x14ac:dyDescent="0.3">
      <c r="B413" s="31"/>
    </row>
    <row r="414" spans="2:2" x14ac:dyDescent="0.3">
      <c r="B414" s="31"/>
    </row>
    <row r="415" spans="2:2" x14ac:dyDescent="0.3">
      <c r="B415" s="31"/>
    </row>
    <row r="416" spans="2:2" x14ac:dyDescent="0.3">
      <c r="B416" s="31"/>
    </row>
    <row r="417" spans="2:2" x14ac:dyDescent="0.3">
      <c r="B417" s="31"/>
    </row>
    <row r="418" spans="2:2" x14ac:dyDescent="0.3">
      <c r="B418" s="31"/>
    </row>
    <row r="419" spans="2:2" x14ac:dyDescent="0.3">
      <c r="B419" s="31"/>
    </row>
    <row r="420" spans="2:2" x14ac:dyDescent="0.3">
      <c r="B420" s="31"/>
    </row>
    <row r="421" spans="2:2" x14ac:dyDescent="0.3">
      <c r="B421" s="31"/>
    </row>
    <row r="422" spans="2:2" x14ac:dyDescent="0.3">
      <c r="B422" s="31"/>
    </row>
    <row r="423" spans="2:2" x14ac:dyDescent="0.3">
      <c r="B423" s="31"/>
    </row>
    <row r="424" spans="2:2" x14ac:dyDescent="0.3">
      <c r="B424" s="31"/>
    </row>
    <row r="425" spans="2:2" x14ac:dyDescent="0.3">
      <c r="B425" s="31"/>
    </row>
    <row r="426" spans="2:2" x14ac:dyDescent="0.3">
      <c r="B426" s="31"/>
    </row>
    <row r="427" spans="2:2" x14ac:dyDescent="0.3">
      <c r="B427" s="31"/>
    </row>
    <row r="428" spans="2:2" x14ac:dyDescent="0.3">
      <c r="B428" s="31"/>
    </row>
    <row r="429" spans="2:2" x14ac:dyDescent="0.3">
      <c r="B429" s="31"/>
    </row>
    <row r="430" spans="2:2" x14ac:dyDescent="0.3">
      <c r="B430" s="31"/>
    </row>
    <row r="431" spans="2:2" x14ac:dyDescent="0.3">
      <c r="B431" s="31"/>
    </row>
    <row r="432" spans="2:2" x14ac:dyDescent="0.3">
      <c r="B432" s="31"/>
    </row>
    <row r="433" spans="2:2" x14ac:dyDescent="0.3">
      <c r="B433" s="31"/>
    </row>
    <row r="434" spans="2:2" x14ac:dyDescent="0.3">
      <c r="B434" s="31"/>
    </row>
    <row r="435" spans="2:2" x14ac:dyDescent="0.3">
      <c r="B435" s="31"/>
    </row>
    <row r="436" spans="2:2" x14ac:dyDescent="0.3">
      <c r="B436" s="31"/>
    </row>
    <row r="437" spans="2:2" x14ac:dyDescent="0.3">
      <c r="B437" s="31"/>
    </row>
    <row r="438" spans="2:2" x14ac:dyDescent="0.3">
      <c r="B438" s="31"/>
    </row>
    <row r="439" spans="2:2" x14ac:dyDescent="0.3">
      <c r="B439" s="31"/>
    </row>
    <row r="440" spans="2:2" x14ac:dyDescent="0.3">
      <c r="B440" s="31"/>
    </row>
    <row r="441" spans="2:2" x14ac:dyDescent="0.3">
      <c r="B441" s="31"/>
    </row>
    <row r="442" spans="2:2" x14ac:dyDescent="0.3">
      <c r="B442" s="31"/>
    </row>
    <row r="443" spans="2:2" x14ac:dyDescent="0.3">
      <c r="B443" s="31"/>
    </row>
    <row r="444" spans="2:2" x14ac:dyDescent="0.3">
      <c r="B444" s="31"/>
    </row>
    <row r="445" spans="2:2" x14ac:dyDescent="0.3">
      <c r="B445" s="31"/>
    </row>
    <row r="446" spans="2:2" x14ac:dyDescent="0.3">
      <c r="B446" s="31"/>
    </row>
    <row r="447" spans="2:2" x14ac:dyDescent="0.3">
      <c r="B447" s="31"/>
    </row>
    <row r="448" spans="2:2" x14ac:dyDescent="0.3">
      <c r="B448" s="31"/>
    </row>
    <row r="449" spans="2:2" x14ac:dyDescent="0.3">
      <c r="B449" s="31"/>
    </row>
    <row r="450" spans="2:2" x14ac:dyDescent="0.3">
      <c r="B450" s="31"/>
    </row>
    <row r="451" spans="2:2" x14ac:dyDescent="0.3">
      <c r="B451" s="31"/>
    </row>
    <row r="452" spans="2:2" x14ac:dyDescent="0.3">
      <c r="B452" s="31"/>
    </row>
    <row r="453" spans="2:2" x14ac:dyDescent="0.3">
      <c r="B453" s="31"/>
    </row>
    <row r="454" spans="2:2" x14ac:dyDescent="0.3">
      <c r="B454" s="31"/>
    </row>
    <row r="455" spans="2:2" x14ac:dyDescent="0.3">
      <c r="B455" s="31"/>
    </row>
    <row r="456" spans="2:2" x14ac:dyDescent="0.3">
      <c r="B456" s="31"/>
    </row>
    <row r="457" spans="2:2" x14ac:dyDescent="0.3">
      <c r="B457" s="31"/>
    </row>
    <row r="458" spans="2:2" x14ac:dyDescent="0.3">
      <c r="B458" s="31"/>
    </row>
    <row r="459" spans="2:2" x14ac:dyDescent="0.3">
      <c r="B459" s="31"/>
    </row>
    <row r="460" spans="2:2" x14ac:dyDescent="0.3">
      <c r="B460" s="31"/>
    </row>
    <row r="461" spans="2:2" x14ac:dyDescent="0.3">
      <c r="B461" s="31"/>
    </row>
    <row r="462" spans="2:2" x14ac:dyDescent="0.3">
      <c r="B462" s="31"/>
    </row>
    <row r="463" spans="2:2" x14ac:dyDescent="0.3">
      <c r="B463" s="31"/>
    </row>
    <row r="464" spans="2:2" x14ac:dyDescent="0.3">
      <c r="B464" s="31"/>
    </row>
    <row r="465" spans="2:2" x14ac:dyDescent="0.3">
      <c r="B465" s="31"/>
    </row>
    <row r="466" spans="2:2" x14ac:dyDescent="0.3">
      <c r="B466" s="31"/>
    </row>
    <row r="467" spans="2:2" x14ac:dyDescent="0.3">
      <c r="B467" s="31"/>
    </row>
    <row r="468" spans="2:2" x14ac:dyDescent="0.3">
      <c r="B468" s="31"/>
    </row>
    <row r="469" spans="2:2" x14ac:dyDescent="0.3">
      <c r="B469" s="31"/>
    </row>
    <row r="470" spans="2:2" x14ac:dyDescent="0.3">
      <c r="B470" s="31"/>
    </row>
    <row r="471" spans="2:2" x14ac:dyDescent="0.3">
      <c r="B471" s="31"/>
    </row>
    <row r="472" spans="2:2" x14ac:dyDescent="0.3">
      <c r="B472" s="31"/>
    </row>
    <row r="473" spans="2:2" x14ac:dyDescent="0.3">
      <c r="B473" s="31"/>
    </row>
    <row r="474" spans="2:2" x14ac:dyDescent="0.3">
      <c r="B474" s="31"/>
    </row>
    <row r="475" spans="2:2" x14ac:dyDescent="0.3">
      <c r="B475" s="31"/>
    </row>
    <row r="476" spans="2:2" x14ac:dyDescent="0.3">
      <c r="B476" s="31"/>
    </row>
    <row r="477" spans="2:2" x14ac:dyDescent="0.3">
      <c r="B477" s="31"/>
    </row>
    <row r="478" spans="2:2" x14ac:dyDescent="0.3">
      <c r="B478" s="31"/>
    </row>
    <row r="479" spans="2:2" x14ac:dyDescent="0.3">
      <c r="B479" s="31"/>
    </row>
    <row r="480" spans="2:2" x14ac:dyDescent="0.3">
      <c r="B480" s="31"/>
    </row>
    <row r="481" spans="2:2" x14ac:dyDescent="0.3">
      <c r="B481" s="31"/>
    </row>
    <row r="482" spans="2:2" x14ac:dyDescent="0.3">
      <c r="B482" s="31"/>
    </row>
    <row r="483" spans="2:2" x14ac:dyDescent="0.3">
      <c r="B483" s="31"/>
    </row>
    <row r="484" spans="2:2" x14ac:dyDescent="0.3">
      <c r="B484" s="31"/>
    </row>
    <row r="485" spans="2:2" x14ac:dyDescent="0.3">
      <c r="B485" s="31"/>
    </row>
    <row r="486" spans="2:2" x14ac:dyDescent="0.3">
      <c r="B486" s="31"/>
    </row>
    <row r="487" spans="2:2" x14ac:dyDescent="0.3">
      <c r="B487" s="31"/>
    </row>
    <row r="488" spans="2:2" x14ac:dyDescent="0.3">
      <c r="B488" s="31"/>
    </row>
    <row r="489" spans="2:2" x14ac:dyDescent="0.3">
      <c r="B489" s="31"/>
    </row>
    <row r="490" spans="2:2" x14ac:dyDescent="0.3">
      <c r="B490" s="31"/>
    </row>
    <row r="491" spans="2:2" x14ac:dyDescent="0.3">
      <c r="B491" s="31"/>
    </row>
    <row r="492" spans="2:2" x14ac:dyDescent="0.3">
      <c r="B492" s="31"/>
    </row>
    <row r="493" spans="2:2" x14ac:dyDescent="0.3">
      <c r="B493" s="31"/>
    </row>
    <row r="494" spans="2:2" x14ac:dyDescent="0.3">
      <c r="B494" s="31"/>
    </row>
    <row r="495" spans="2:2" x14ac:dyDescent="0.3">
      <c r="B495" s="31"/>
    </row>
    <row r="496" spans="2:2" x14ac:dyDescent="0.3">
      <c r="B496" s="31"/>
    </row>
    <row r="497" spans="2:2" x14ac:dyDescent="0.3">
      <c r="B497" s="31"/>
    </row>
    <row r="498" spans="2:2" x14ac:dyDescent="0.3">
      <c r="B498" s="31"/>
    </row>
    <row r="499" spans="2:2" x14ac:dyDescent="0.3">
      <c r="B499" s="31"/>
    </row>
    <row r="500" spans="2:2" x14ac:dyDescent="0.3">
      <c r="B500" s="31"/>
    </row>
    <row r="501" spans="2:2" x14ac:dyDescent="0.3">
      <c r="B501" s="31"/>
    </row>
    <row r="502" spans="2:2" x14ac:dyDescent="0.3">
      <c r="B502" s="31"/>
    </row>
    <row r="503" spans="2:2" x14ac:dyDescent="0.3">
      <c r="B503" s="31"/>
    </row>
    <row r="504" spans="2:2" x14ac:dyDescent="0.3">
      <c r="B504" s="31"/>
    </row>
    <row r="505" spans="2:2" x14ac:dyDescent="0.3">
      <c r="B505" s="31"/>
    </row>
    <row r="506" spans="2:2" x14ac:dyDescent="0.3">
      <c r="B506" s="31"/>
    </row>
    <row r="507" spans="2:2" x14ac:dyDescent="0.3">
      <c r="B507" s="31"/>
    </row>
    <row r="508" spans="2:2" x14ac:dyDescent="0.3">
      <c r="B508" s="31"/>
    </row>
    <row r="509" spans="2:2" x14ac:dyDescent="0.3">
      <c r="B509" s="31"/>
    </row>
    <row r="510" spans="2:2" x14ac:dyDescent="0.3">
      <c r="B510" s="31"/>
    </row>
    <row r="511" spans="2:2" x14ac:dyDescent="0.3">
      <c r="B511" s="31"/>
    </row>
    <row r="512" spans="2:2" x14ac:dyDescent="0.3">
      <c r="B512" s="31"/>
    </row>
    <row r="513" spans="2:2" x14ac:dyDescent="0.3">
      <c r="B513" s="31"/>
    </row>
    <row r="514" spans="2:2" x14ac:dyDescent="0.3">
      <c r="B514" s="31"/>
    </row>
    <row r="515" spans="2:2" x14ac:dyDescent="0.3">
      <c r="B515" s="31"/>
    </row>
    <row r="516" spans="2:2" x14ac:dyDescent="0.3">
      <c r="B516" s="31"/>
    </row>
    <row r="517" spans="2:2" x14ac:dyDescent="0.3">
      <c r="B517" s="31"/>
    </row>
    <row r="518" spans="2:2" x14ac:dyDescent="0.3">
      <c r="B518" s="31"/>
    </row>
    <row r="519" spans="2:2" x14ac:dyDescent="0.3">
      <c r="B519" s="31"/>
    </row>
    <row r="520" spans="2:2" x14ac:dyDescent="0.3">
      <c r="B520" s="31"/>
    </row>
    <row r="521" spans="2:2" x14ac:dyDescent="0.3">
      <c r="B521" s="31"/>
    </row>
    <row r="522" spans="2:2" x14ac:dyDescent="0.3">
      <c r="B522" s="31"/>
    </row>
    <row r="523" spans="2:2" x14ac:dyDescent="0.3">
      <c r="B523" s="31"/>
    </row>
    <row r="524" spans="2:2" x14ac:dyDescent="0.3">
      <c r="B524" s="31"/>
    </row>
    <row r="525" spans="2:2" x14ac:dyDescent="0.3">
      <c r="B525" s="31"/>
    </row>
    <row r="526" spans="2:2" x14ac:dyDescent="0.3">
      <c r="B526" s="31"/>
    </row>
    <row r="527" spans="2:2" x14ac:dyDescent="0.3">
      <c r="B527" s="31"/>
    </row>
    <row r="528" spans="2:2" x14ac:dyDescent="0.3">
      <c r="B528" s="31"/>
    </row>
    <row r="529" spans="2:2" x14ac:dyDescent="0.3">
      <c r="B529" s="31"/>
    </row>
    <row r="530" spans="2:2" x14ac:dyDescent="0.3">
      <c r="B530" s="31"/>
    </row>
    <row r="531" spans="2:2" x14ac:dyDescent="0.3">
      <c r="B531" s="31"/>
    </row>
    <row r="532" spans="2:2" x14ac:dyDescent="0.3">
      <c r="B532" s="31"/>
    </row>
    <row r="533" spans="2:2" x14ac:dyDescent="0.3">
      <c r="B533" s="31"/>
    </row>
    <row r="534" spans="2:2" x14ac:dyDescent="0.3">
      <c r="B534" s="31"/>
    </row>
    <row r="535" spans="2:2" x14ac:dyDescent="0.3">
      <c r="B535" s="31"/>
    </row>
    <row r="536" spans="2:2" x14ac:dyDescent="0.3">
      <c r="B536" s="31"/>
    </row>
    <row r="537" spans="2:2" x14ac:dyDescent="0.3">
      <c r="B537" s="31"/>
    </row>
    <row r="538" spans="2:2" x14ac:dyDescent="0.3">
      <c r="B538" s="31"/>
    </row>
    <row r="539" spans="2:2" x14ac:dyDescent="0.3">
      <c r="B539" s="31"/>
    </row>
    <row r="540" spans="2:2" x14ac:dyDescent="0.3">
      <c r="B540" s="31"/>
    </row>
    <row r="541" spans="2:2" x14ac:dyDescent="0.3">
      <c r="B541" s="31"/>
    </row>
    <row r="542" spans="2:2" x14ac:dyDescent="0.3">
      <c r="B542" s="31"/>
    </row>
    <row r="543" spans="2:2" x14ac:dyDescent="0.3">
      <c r="B543" s="31"/>
    </row>
    <row r="544" spans="2:2" x14ac:dyDescent="0.3">
      <c r="B544" s="31"/>
    </row>
    <row r="545" spans="2:2" x14ac:dyDescent="0.3">
      <c r="B545" s="31"/>
    </row>
    <row r="546" spans="2:2" x14ac:dyDescent="0.3">
      <c r="B546" s="31"/>
    </row>
    <row r="547" spans="2:2" x14ac:dyDescent="0.3">
      <c r="B547" s="31"/>
    </row>
    <row r="548" spans="2:2" x14ac:dyDescent="0.3">
      <c r="B548" s="31"/>
    </row>
    <row r="549" spans="2:2" x14ac:dyDescent="0.3">
      <c r="B549" s="31"/>
    </row>
    <row r="550" spans="2:2" x14ac:dyDescent="0.3">
      <c r="B550" s="31"/>
    </row>
    <row r="551" spans="2:2" x14ac:dyDescent="0.3">
      <c r="B551" s="31"/>
    </row>
    <row r="552" spans="2:2" x14ac:dyDescent="0.3">
      <c r="B552" s="31"/>
    </row>
    <row r="553" spans="2:2" x14ac:dyDescent="0.3">
      <c r="B553" s="31"/>
    </row>
    <row r="554" spans="2:2" x14ac:dyDescent="0.3">
      <c r="B554" s="31"/>
    </row>
    <row r="555" spans="2:2" x14ac:dyDescent="0.3">
      <c r="B555" s="31"/>
    </row>
    <row r="556" spans="2:2" x14ac:dyDescent="0.3">
      <c r="B556" s="31"/>
    </row>
    <row r="557" spans="2:2" x14ac:dyDescent="0.3">
      <c r="B557" s="31"/>
    </row>
    <row r="558" spans="2:2" x14ac:dyDescent="0.3">
      <c r="B558" s="31"/>
    </row>
    <row r="559" spans="2:2" x14ac:dyDescent="0.3">
      <c r="B559" s="31"/>
    </row>
    <row r="560" spans="2:2" x14ac:dyDescent="0.3">
      <c r="B560" s="31"/>
    </row>
    <row r="561" spans="2:2" x14ac:dyDescent="0.3">
      <c r="B561" s="31"/>
    </row>
    <row r="562" spans="2:2" x14ac:dyDescent="0.3">
      <c r="B562" s="31"/>
    </row>
    <row r="563" spans="2:2" x14ac:dyDescent="0.3">
      <c r="B563" s="31"/>
    </row>
  </sheetData>
  <sortState xmlns:xlrd2="http://schemas.microsoft.com/office/spreadsheetml/2017/richdata2" ref="A3:BA200">
    <sortCondition ref="A3:A200"/>
  </sortState>
  <printOptions gridLines="1"/>
  <pageMargins left="0.23622047244094491" right="0.23622047244094491" top="0.74803149606299213" bottom="0.74803149606299213" header="0.31496062992125984" footer="0.31496062992125984"/>
  <pageSetup paperSize="9" scale="7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E38FF-293C-484B-BDCA-30BB35698F6D}">
  <sheetPr codeName="Tabelle35">
    <tabColor theme="8" tint="-0.249977111117893"/>
  </sheetPr>
  <dimension ref="A1:BA563"/>
  <sheetViews>
    <sheetView topLeftCell="A19" workbookViewId="0">
      <selection activeCell="H39" sqref="H39"/>
    </sheetView>
  </sheetViews>
  <sheetFormatPr baseColWidth="10" defaultRowHeight="14.4" x14ac:dyDescent="0.3"/>
  <cols>
    <col min="1" max="1" width="18.77734375" style="1" customWidth="1"/>
    <col min="2" max="2" width="8" style="1" customWidth="1"/>
    <col min="3" max="3" width="10.44140625" style="1" customWidth="1"/>
    <col min="4" max="16384" width="11.5546875" style="1"/>
  </cols>
  <sheetData>
    <row r="1" spans="1:53" s="47" customFormat="1" ht="20.399999999999999" x14ac:dyDescent="0.2">
      <c r="A1" s="378" t="s">
        <v>44</v>
      </c>
      <c r="B1" s="378" t="s">
        <v>599</v>
      </c>
      <c r="C1" s="378" t="s">
        <v>15</v>
      </c>
      <c r="D1" s="378" t="s">
        <v>60</v>
      </c>
      <c r="E1" s="378" t="s">
        <v>65</v>
      </c>
      <c r="F1" s="378" t="s">
        <v>438</v>
      </c>
      <c r="G1" s="378" t="s">
        <v>61</v>
      </c>
      <c r="H1" s="378" t="s">
        <v>601</v>
      </c>
      <c r="I1" s="378" t="s">
        <v>755</v>
      </c>
      <c r="J1" s="378"/>
      <c r="K1" s="378"/>
      <c r="L1" s="378"/>
      <c r="M1" s="378"/>
      <c r="N1" s="378"/>
      <c r="O1" s="378"/>
      <c r="P1" s="378"/>
      <c r="Q1" s="378"/>
      <c r="R1" s="75"/>
      <c r="S1" s="75"/>
    </row>
    <row r="2" spans="1:53" s="47" customFormat="1" ht="30.6" x14ac:dyDescent="0.2">
      <c r="A2" s="378" t="s">
        <v>439</v>
      </c>
      <c r="B2" s="378" t="s">
        <v>599</v>
      </c>
      <c r="C2" s="378" t="s">
        <v>15</v>
      </c>
      <c r="D2" s="378" t="s">
        <v>61</v>
      </c>
      <c r="E2" s="378" t="s">
        <v>440</v>
      </c>
      <c r="F2" s="378" t="s">
        <v>441</v>
      </c>
      <c r="G2" s="378" t="s">
        <v>442</v>
      </c>
      <c r="H2" s="378" t="s">
        <v>443</v>
      </c>
      <c r="I2" s="378" t="s">
        <v>444</v>
      </c>
      <c r="J2" s="378"/>
      <c r="K2" s="378"/>
      <c r="L2" s="378"/>
      <c r="M2" s="378"/>
      <c r="N2" s="378"/>
      <c r="O2" s="378"/>
      <c r="P2" s="378"/>
      <c r="Q2" s="378"/>
      <c r="R2" s="75"/>
      <c r="S2" s="75"/>
    </row>
    <row r="3" spans="1:53" s="47" customFormat="1" ht="30.6" x14ac:dyDescent="0.2">
      <c r="A3" s="378" t="s">
        <v>439</v>
      </c>
      <c r="B3" s="378" t="s">
        <v>600</v>
      </c>
      <c r="C3" s="378" t="s">
        <v>15</v>
      </c>
      <c r="D3" s="378" t="s">
        <v>61</v>
      </c>
      <c r="E3" s="378" t="s">
        <v>440</v>
      </c>
      <c r="F3" s="378" t="s">
        <v>441</v>
      </c>
      <c r="G3" s="378" t="s">
        <v>442</v>
      </c>
      <c r="H3" s="378" t="s">
        <v>443</v>
      </c>
      <c r="I3" s="378" t="s">
        <v>444</v>
      </c>
      <c r="J3" s="378"/>
      <c r="K3" s="378"/>
      <c r="L3" s="378"/>
      <c r="M3" s="378"/>
      <c r="N3" s="378"/>
      <c r="O3" s="378"/>
      <c r="P3" s="378"/>
      <c r="Q3" s="378"/>
      <c r="R3" s="75"/>
      <c r="S3" s="75"/>
    </row>
    <row r="4" spans="1:53" s="47" customFormat="1" ht="30.6" x14ac:dyDescent="0.2">
      <c r="A4" s="378" t="s">
        <v>439</v>
      </c>
      <c r="B4" s="378" t="s">
        <v>599</v>
      </c>
      <c r="C4" s="378" t="s">
        <v>15</v>
      </c>
      <c r="D4" s="378" t="s">
        <v>61</v>
      </c>
      <c r="E4" s="378" t="s">
        <v>440</v>
      </c>
      <c r="F4" s="378" t="s">
        <v>441</v>
      </c>
      <c r="G4" s="378" t="s">
        <v>442</v>
      </c>
      <c r="H4" s="378" t="s">
        <v>443</v>
      </c>
      <c r="I4" s="378" t="s">
        <v>444</v>
      </c>
      <c r="J4" s="378"/>
      <c r="K4" s="378"/>
      <c r="L4" s="378"/>
      <c r="M4" s="378"/>
      <c r="N4" s="378"/>
      <c r="O4" s="378"/>
      <c r="P4" s="378"/>
      <c r="Q4" s="378"/>
      <c r="R4" s="75"/>
      <c r="S4" s="75"/>
    </row>
    <row r="5" spans="1:53" s="47" customFormat="1" ht="20.399999999999999" x14ac:dyDescent="0.2">
      <c r="A5" s="388" t="s">
        <v>605</v>
      </c>
      <c r="B5" s="45" t="s">
        <v>599</v>
      </c>
      <c r="C5" s="73" t="s">
        <v>15</v>
      </c>
      <c r="D5" s="73" t="s">
        <v>422</v>
      </c>
      <c r="E5" s="73" t="s">
        <v>61</v>
      </c>
      <c r="F5" s="73" t="s">
        <v>62</v>
      </c>
      <c r="G5" s="73" t="s">
        <v>68</v>
      </c>
      <c r="H5" s="73" t="s">
        <v>760</v>
      </c>
      <c r="I5" s="73" t="s">
        <v>65</v>
      </c>
      <c r="J5" s="73" t="s">
        <v>66</v>
      </c>
      <c r="K5" s="73" t="s">
        <v>67</v>
      </c>
      <c r="L5" s="73" t="s">
        <v>602</v>
      </c>
      <c r="M5" s="73" t="s">
        <v>38</v>
      </c>
      <c r="N5" s="73"/>
      <c r="O5" s="73"/>
      <c r="P5" s="73"/>
      <c r="Q5" s="71"/>
    </row>
    <row r="6" spans="1:53" s="47" customFormat="1" ht="20.399999999999999" x14ac:dyDescent="0.2">
      <c r="A6" s="378" t="s">
        <v>11</v>
      </c>
      <c r="B6" s="378" t="s">
        <v>600</v>
      </c>
      <c r="C6" s="378" t="s">
        <v>15</v>
      </c>
      <c r="D6" s="378" t="s">
        <v>27</v>
      </c>
      <c r="E6" s="378" t="s">
        <v>91</v>
      </c>
      <c r="F6" s="378" t="s">
        <v>92</v>
      </c>
      <c r="G6" s="378" t="s">
        <v>93</v>
      </c>
      <c r="H6" s="378" t="s">
        <v>94</v>
      </c>
      <c r="I6" s="378" t="s">
        <v>95</v>
      </c>
      <c r="J6" s="378" t="s">
        <v>96</v>
      </c>
      <c r="K6" s="378" t="s">
        <v>97</v>
      </c>
      <c r="L6" s="378" t="s">
        <v>98</v>
      </c>
      <c r="M6" s="378" t="s">
        <v>73</v>
      </c>
      <c r="N6" s="378" t="s">
        <v>105</v>
      </c>
      <c r="O6" s="378" t="s">
        <v>100</v>
      </c>
      <c r="P6" s="378" t="s">
        <v>124</v>
      </c>
      <c r="Q6" s="378" t="s">
        <v>61</v>
      </c>
      <c r="R6" s="75" t="s">
        <v>62</v>
      </c>
      <c r="S6" s="75" t="s">
        <v>760</v>
      </c>
      <c r="T6" s="47" t="s">
        <v>65</v>
      </c>
      <c r="U6" s="47" t="s">
        <v>66</v>
      </c>
      <c r="V6" s="47" t="s">
        <v>67</v>
      </c>
      <c r="W6" s="47" t="s">
        <v>68</v>
      </c>
      <c r="X6" s="47" t="s">
        <v>772</v>
      </c>
      <c r="Y6" s="47" t="s">
        <v>69</v>
      </c>
      <c r="Z6" s="47" t="s">
        <v>916</v>
      </c>
      <c r="AA6" s="47" t="s">
        <v>163</v>
      </c>
      <c r="AB6" s="47" t="s">
        <v>149</v>
      </c>
      <c r="AC6" s="47" t="s">
        <v>158</v>
      </c>
      <c r="AD6" s="47" t="s">
        <v>538</v>
      </c>
      <c r="AE6" s="47" t="s">
        <v>917</v>
      </c>
      <c r="AF6" s="47" t="s">
        <v>272</v>
      </c>
      <c r="AG6" s="47" t="s">
        <v>282</v>
      </c>
      <c r="AH6" s="47" t="s">
        <v>273</v>
      </c>
      <c r="AI6" s="47" t="s">
        <v>292</v>
      </c>
      <c r="AJ6" s="47" t="s">
        <v>271</v>
      </c>
      <c r="AK6" s="47" t="s">
        <v>548</v>
      </c>
      <c r="AL6" s="47" t="s">
        <v>270</v>
      </c>
      <c r="AM6" s="47" t="s">
        <v>102</v>
      </c>
      <c r="AN6" s="47" t="s">
        <v>107</v>
      </c>
      <c r="AO6" s="47" t="s">
        <v>108</v>
      </c>
      <c r="AP6" s="47" t="s">
        <v>109</v>
      </c>
      <c r="AQ6" s="47" t="s">
        <v>111</v>
      </c>
      <c r="AR6" s="47" t="s">
        <v>110</v>
      </c>
      <c r="AS6" s="47" t="s">
        <v>104</v>
      </c>
      <c r="AT6" s="47" t="s">
        <v>112</v>
      </c>
      <c r="AU6" s="47" t="s">
        <v>106</v>
      </c>
      <c r="AV6" s="47" t="s">
        <v>411</v>
      </c>
      <c r="AW6" s="47" t="s">
        <v>103</v>
      </c>
      <c r="AX6" s="47" t="s">
        <v>99</v>
      </c>
      <c r="AY6" s="47" t="s">
        <v>415</v>
      </c>
      <c r="AZ6" s="47" t="s">
        <v>602</v>
      </c>
      <c r="BA6" s="47" t="s">
        <v>918</v>
      </c>
    </row>
    <row r="7" spans="1:53" s="47" customFormat="1" ht="20.399999999999999" x14ac:dyDescent="0.2">
      <c r="A7" s="378" t="s">
        <v>11</v>
      </c>
      <c r="B7" s="378" t="s">
        <v>599</v>
      </c>
      <c r="C7" s="378" t="s">
        <v>15</v>
      </c>
      <c r="D7" s="378" t="s">
        <v>27</v>
      </c>
      <c r="E7" s="378" t="s">
        <v>91</v>
      </c>
      <c r="F7" s="378" t="s">
        <v>92</v>
      </c>
      <c r="G7" s="378" t="s">
        <v>93</v>
      </c>
      <c r="H7" s="378" t="s">
        <v>94</v>
      </c>
      <c r="I7" s="378" t="s">
        <v>95</v>
      </c>
      <c r="J7" s="378" t="s">
        <v>96</v>
      </c>
      <c r="K7" s="378" t="s">
        <v>97</v>
      </c>
      <c r="L7" s="378" t="s">
        <v>98</v>
      </c>
      <c r="M7" s="378" t="s">
        <v>73</v>
      </c>
      <c r="N7" s="378" t="s">
        <v>105</v>
      </c>
      <c r="O7" s="378" t="s">
        <v>100</v>
      </c>
      <c r="P7" s="378" t="s">
        <v>124</v>
      </c>
      <c r="Q7" s="378" t="s">
        <v>61</v>
      </c>
      <c r="R7" s="75" t="s">
        <v>62</v>
      </c>
      <c r="S7" s="75" t="s">
        <v>760</v>
      </c>
      <c r="T7" s="47" t="s">
        <v>65</v>
      </c>
      <c r="U7" s="47" t="s">
        <v>66</v>
      </c>
      <c r="V7" s="47" t="s">
        <v>67</v>
      </c>
      <c r="W7" s="47" t="s">
        <v>68</v>
      </c>
      <c r="X7" s="47" t="s">
        <v>772</v>
      </c>
      <c r="Y7" s="47" t="s">
        <v>69</v>
      </c>
      <c r="Z7" s="47" t="s">
        <v>916</v>
      </c>
      <c r="AA7" s="47" t="s">
        <v>163</v>
      </c>
      <c r="AB7" s="47" t="s">
        <v>149</v>
      </c>
      <c r="AC7" s="47" t="s">
        <v>158</v>
      </c>
      <c r="AD7" s="47" t="s">
        <v>538</v>
      </c>
      <c r="AE7" s="47" t="s">
        <v>917</v>
      </c>
      <c r="AF7" s="47" t="s">
        <v>272</v>
      </c>
      <c r="AG7" s="47" t="s">
        <v>282</v>
      </c>
      <c r="AH7" s="47" t="s">
        <v>273</v>
      </c>
      <c r="AI7" s="47" t="s">
        <v>292</v>
      </c>
      <c r="AJ7" s="47" t="s">
        <v>271</v>
      </c>
      <c r="AK7" s="47" t="s">
        <v>548</v>
      </c>
      <c r="AL7" s="47" t="s">
        <v>270</v>
      </c>
      <c r="AM7" s="47" t="s">
        <v>102</v>
      </c>
      <c r="AN7" s="47" t="s">
        <v>107</v>
      </c>
      <c r="AO7" s="47" t="s">
        <v>108</v>
      </c>
      <c r="AP7" s="47" t="s">
        <v>109</v>
      </c>
      <c r="AQ7" s="47" t="s">
        <v>111</v>
      </c>
      <c r="AR7" s="47" t="s">
        <v>110</v>
      </c>
      <c r="AS7" s="47" t="s">
        <v>104</v>
      </c>
      <c r="AT7" s="47" t="s">
        <v>112</v>
      </c>
      <c r="AU7" s="47" t="s">
        <v>106</v>
      </c>
      <c r="AV7" s="47" t="s">
        <v>411</v>
      </c>
      <c r="AW7" s="47" t="s">
        <v>103</v>
      </c>
      <c r="AX7" s="47" t="s">
        <v>99</v>
      </c>
      <c r="AY7" s="47" t="s">
        <v>415</v>
      </c>
      <c r="AZ7" s="47" t="s">
        <v>602</v>
      </c>
      <c r="BA7" s="47" t="s">
        <v>918</v>
      </c>
    </row>
    <row r="8" spans="1:53" s="47" customFormat="1" ht="20.399999999999999" x14ac:dyDescent="0.2">
      <c r="A8" s="378" t="s">
        <v>882</v>
      </c>
      <c r="B8" s="378" t="s">
        <v>600</v>
      </c>
      <c r="C8" s="378" t="s">
        <v>15</v>
      </c>
      <c r="D8" s="378" t="s">
        <v>280</v>
      </c>
      <c r="E8" s="378" t="s">
        <v>61</v>
      </c>
      <c r="F8" s="378" t="s">
        <v>62</v>
      </c>
      <c r="G8" s="378" t="s">
        <v>760</v>
      </c>
      <c r="H8" s="378" t="s">
        <v>65</v>
      </c>
      <c r="I8" s="378" t="s">
        <v>66</v>
      </c>
      <c r="J8" s="378" t="s">
        <v>67</v>
      </c>
      <c r="K8" s="378" t="s">
        <v>68</v>
      </c>
      <c r="L8" s="378" t="s">
        <v>923</v>
      </c>
      <c r="M8" s="378" t="s">
        <v>34</v>
      </c>
      <c r="N8" s="378" t="s">
        <v>602</v>
      </c>
      <c r="O8" s="378"/>
      <c r="P8" s="378"/>
      <c r="Q8" s="378"/>
      <c r="R8" s="75"/>
      <c r="S8" s="75"/>
    </row>
    <row r="9" spans="1:53" s="47" customFormat="1" ht="20.399999999999999" x14ac:dyDescent="0.2">
      <c r="A9" s="378" t="s">
        <v>882</v>
      </c>
      <c r="B9" s="378" t="s">
        <v>599</v>
      </c>
      <c r="C9" s="378" t="s">
        <v>15</v>
      </c>
      <c r="D9" s="378" t="s">
        <v>280</v>
      </c>
      <c r="E9" s="378" t="s">
        <v>61</v>
      </c>
      <c r="F9" s="378" t="s">
        <v>62</v>
      </c>
      <c r="G9" s="378" t="s">
        <v>760</v>
      </c>
      <c r="H9" s="378" t="s">
        <v>65</v>
      </c>
      <c r="I9" s="378" t="s">
        <v>66</v>
      </c>
      <c r="J9" s="378" t="s">
        <v>67</v>
      </c>
      <c r="K9" s="378" t="s">
        <v>68</v>
      </c>
      <c r="L9" s="378" t="s">
        <v>923</v>
      </c>
      <c r="M9" s="378" t="s">
        <v>34</v>
      </c>
      <c r="N9" s="378" t="s">
        <v>602</v>
      </c>
      <c r="O9" s="378"/>
      <c r="P9" s="378"/>
      <c r="Q9" s="378"/>
      <c r="R9" s="75"/>
      <c r="S9" s="75"/>
    </row>
    <row r="10" spans="1:53" s="47" customFormat="1" ht="20.399999999999999" x14ac:dyDescent="0.2">
      <c r="A10" s="378" t="s">
        <v>59</v>
      </c>
      <c r="B10" s="378" t="s">
        <v>600</v>
      </c>
      <c r="C10" s="378" t="s">
        <v>15</v>
      </c>
      <c r="D10" s="378" t="s">
        <v>115</v>
      </c>
      <c r="E10" s="378" t="s">
        <v>170</v>
      </c>
      <c r="F10" s="378" t="s">
        <v>171</v>
      </c>
      <c r="G10" s="378" t="s">
        <v>61</v>
      </c>
      <c r="H10" s="378" t="s">
        <v>62</v>
      </c>
      <c r="I10" s="378" t="s">
        <v>760</v>
      </c>
      <c r="J10" s="378" t="s">
        <v>65</v>
      </c>
      <c r="K10" s="378" t="s">
        <v>66</v>
      </c>
      <c r="L10" s="378" t="s">
        <v>67</v>
      </c>
      <c r="M10" s="378" t="s">
        <v>68</v>
      </c>
      <c r="N10" s="378" t="s">
        <v>602</v>
      </c>
      <c r="O10" s="378"/>
      <c r="P10" s="378"/>
      <c r="Q10" s="378"/>
      <c r="R10" s="75"/>
      <c r="S10" s="75"/>
    </row>
    <row r="11" spans="1:53" s="47" customFormat="1" ht="20.399999999999999" x14ac:dyDescent="0.2">
      <c r="A11" s="72" t="s">
        <v>59</v>
      </c>
      <c r="B11" s="45" t="s">
        <v>599</v>
      </c>
      <c r="C11" s="73" t="s">
        <v>15</v>
      </c>
      <c r="D11" s="73" t="s">
        <v>115</v>
      </c>
      <c r="E11" s="73" t="s">
        <v>170</v>
      </c>
      <c r="F11" s="73" t="s">
        <v>171</v>
      </c>
      <c r="G11" s="73" t="s">
        <v>61</v>
      </c>
      <c r="H11" s="73" t="s">
        <v>62</v>
      </c>
      <c r="I11" s="73" t="s">
        <v>760</v>
      </c>
      <c r="J11" s="73" t="s">
        <v>65</v>
      </c>
      <c r="K11" s="73" t="s">
        <v>66</v>
      </c>
      <c r="L11" s="73" t="s">
        <v>67</v>
      </c>
      <c r="M11" s="73" t="s">
        <v>68</v>
      </c>
      <c r="N11" s="73" t="s">
        <v>602</v>
      </c>
      <c r="O11" s="73"/>
      <c r="P11" s="73"/>
      <c r="Q11" s="71"/>
    </row>
    <row r="12" spans="1:53" s="47" customFormat="1" ht="20.399999999999999" x14ac:dyDescent="0.2">
      <c r="A12" s="378" t="s">
        <v>12</v>
      </c>
      <c r="B12" s="378" t="s">
        <v>600</v>
      </c>
      <c r="C12" s="378" t="s">
        <v>15</v>
      </c>
      <c r="D12" s="378" t="s">
        <v>38</v>
      </c>
      <c r="E12" s="378" t="s">
        <v>34</v>
      </c>
      <c r="F12" s="378" t="s">
        <v>61</v>
      </c>
      <c r="G12" s="378" t="s">
        <v>62</v>
      </c>
      <c r="H12" s="378" t="s">
        <v>760</v>
      </c>
      <c r="I12" s="378" t="s">
        <v>65</v>
      </c>
      <c r="J12" s="378" t="s">
        <v>66</v>
      </c>
      <c r="K12" s="378" t="s">
        <v>67</v>
      </c>
      <c r="L12" s="378" t="s">
        <v>68</v>
      </c>
      <c r="M12" s="378" t="s">
        <v>602</v>
      </c>
      <c r="N12" s="378"/>
      <c r="O12" s="378"/>
      <c r="P12" s="378"/>
      <c r="Q12" s="378"/>
      <c r="R12" s="75"/>
      <c r="S12" s="75"/>
    </row>
    <row r="13" spans="1:53" s="47" customFormat="1" ht="20.399999999999999" x14ac:dyDescent="0.2">
      <c r="A13" s="379" t="s">
        <v>12</v>
      </c>
      <c r="B13" s="383" t="s">
        <v>599</v>
      </c>
      <c r="C13" s="378" t="s">
        <v>15</v>
      </c>
      <c r="D13" s="378" t="s">
        <v>38</v>
      </c>
      <c r="E13" s="378" t="s">
        <v>34</v>
      </c>
      <c r="F13" s="378" t="s">
        <v>61</v>
      </c>
      <c r="G13" s="378" t="s">
        <v>62</v>
      </c>
      <c r="H13" s="378" t="s">
        <v>760</v>
      </c>
      <c r="I13" s="378" t="s">
        <v>65</v>
      </c>
      <c r="J13" s="378" t="s">
        <v>66</v>
      </c>
      <c r="K13" s="378" t="s">
        <v>67</v>
      </c>
      <c r="L13" s="378" t="s">
        <v>68</v>
      </c>
      <c r="M13" s="378" t="s">
        <v>602</v>
      </c>
      <c r="N13" s="378"/>
      <c r="O13" s="378"/>
      <c r="P13" s="378"/>
      <c r="Q13" s="380"/>
      <c r="R13" s="75"/>
      <c r="S13" s="75"/>
    </row>
    <row r="14" spans="1:53" s="47" customFormat="1" ht="20.399999999999999" x14ac:dyDescent="0.2">
      <c r="A14" s="378" t="s">
        <v>278</v>
      </c>
      <c r="B14" s="378" t="s">
        <v>600</v>
      </c>
      <c r="C14" s="378" t="s">
        <v>15</v>
      </c>
      <c r="D14" s="378" t="s">
        <v>17</v>
      </c>
      <c r="E14" s="378" t="s">
        <v>19</v>
      </c>
      <c r="F14" s="378" t="s">
        <v>602</v>
      </c>
      <c r="G14" s="378" t="s">
        <v>61</v>
      </c>
      <c r="H14" s="378" t="s">
        <v>62</v>
      </c>
      <c r="I14" s="378" t="s">
        <v>760</v>
      </c>
      <c r="J14" s="378" t="s">
        <v>65</v>
      </c>
      <c r="K14" s="378" t="s">
        <v>66</v>
      </c>
      <c r="L14" s="378" t="s">
        <v>67</v>
      </c>
      <c r="M14" s="378" t="s">
        <v>68</v>
      </c>
      <c r="N14" s="378"/>
      <c r="O14" s="378"/>
      <c r="P14" s="378"/>
      <c r="Q14" s="378"/>
      <c r="R14" s="75"/>
      <c r="S14" s="75"/>
    </row>
    <row r="15" spans="1:53" s="47" customFormat="1" ht="20.399999999999999" x14ac:dyDescent="0.2">
      <c r="A15" s="378" t="s">
        <v>278</v>
      </c>
      <c r="B15" s="378" t="s">
        <v>599</v>
      </c>
      <c r="C15" s="378" t="s">
        <v>15</v>
      </c>
      <c r="D15" s="378" t="s">
        <v>17</v>
      </c>
      <c r="E15" s="378" t="s">
        <v>19</v>
      </c>
      <c r="F15" s="378" t="s">
        <v>602</v>
      </c>
      <c r="G15" s="378" t="s">
        <v>61</v>
      </c>
      <c r="H15" s="378" t="s">
        <v>62</v>
      </c>
      <c r="I15" s="378" t="s">
        <v>760</v>
      </c>
      <c r="J15" s="378" t="s">
        <v>65</v>
      </c>
      <c r="K15" s="378" t="s">
        <v>66</v>
      </c>
      <c r="L15" s="378" t="s">
        <v>67</v>
      </c>
      <c r="M15" s="378" t="s">
        <v>68</v>
      </c>
      <c r="N15" s="378"/>
      <c r="O15" s="378"/>
      <c r="P15" s="378"/>
      <c r="Q15" s="378"/>
      <c r="R15" s="75"/>
      <c r="S15" s="75"/>
    </row>
    <row r="16" spans="1:53" s="47" customFormat="1" ht="20.399999999999999" x14ac:dyDescent="0.2">
      <c r="A16" s="378" t="s">
        <v>751</v>
      </c>
      <c r="B16" s="378" t="s">
        <v>600</v>
      </c>
      <c r="C16" s="378" t="s">
        <v>15</v>
      </c>
      <c r="D16" s="378" t="s">
        <v>118</v>
      </c>
      <c r="E16" s="378" t="s">
        <v>799</v>
      </c>
      <c r="F16" s="378"/>
      <c r="G16" s="378"/>
      <c r="H16" s="378"/>
      <c r="I16" s="378"/>
      <c r="J16" s="378"/>
      <c r="K16" s="378"/>
      <c r="L16" s="378"/>
      <c r="M16" s="378"/>
      <c r="N16" s="378"/>
      <c r="O16" s="378"/>
      <c r="P16" s="378"/>
      <c r="Q16" s="378"/>
      <c r="R16" s="75"/>
      <c r="S16" s="75"/>
    </row>
    <row r="17" spans="1:22" s="47" customFormat="1" ht="20.399999999999999" x14ac:dyDescent="0.2">
      <c r="A17" s="72" t="s">
        <v>751</v>
      </c>
      <c r="B17" s="45" t="s">
        <v>599</v>
      </c>
      <c r="C17" s="73" t="s">
        <v>15</v>
      </c>
      <c r="D17" s="73" t="s">
        <v>118</v>
      </c>
      <c r="E17" s="73" t="s">
        <v>799</v>
      </c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1"/>
    </row>
    <row r="18" spans="1:22" s="47" customFormat="1" ht="20.399999999999999" x14ac:dyDescent="0.2">
      <c r="A18" s="378" t="s">
        <v>13</v>
      </c>
      <c r="B18" s="378" t="s">
        <v>600</v>
      </c>
      <c r="C18" s="378" t="s">
        <v>15</v>
      </c>
      <c r="D18" s="378" t="s">
        <v>38</v>
      </c>
      <c r="E18" s="378" t="s">
        <v>61</v>
      </c>
      <c r="F18" s="378" t="s">
        <v>62</v>
      </c>
      <c r="G18" s="378" t="s">
        <v>760</v>
      </c>
      <c r="H18" s="378" t="s">
        <v>65</v>
      </c>
      <c r="I18" s="378" t="s">
        <v>66</v>
      </c>
      <c r="J18" s="378" t="s">
        <v>67</v>
      </c>
      <c r="K18" s="378" t="s">
        <v>68</v>
      </c>
      <c r="L18" s="378" t="s">
        <v>32</v>
      </c>
      <c r="M18" s="378" t="s">
        <v>602</v>
      </c>
      <c r="N18" s="378"/>
      <c r="O18" s="378"/>
      <c r="P18" s="378"/>
      <c r="Q18" s="378"/>
      <c r="R18" s="75"/>
      <c r="S18" s="75"/>
    </row>
    <row r="19" spans="1:22" s="47" customFormat="1" ht="20.399999999999999" x14ac:dyDescent="0.2">
      <c r="A19" s="378" t="s">
        <v>13</v>
      </c>
      <c r="B19" s="378" t="s">
        <v>599</v>
      </c>
      <c r="C19" s="378" t="s">
        <v>15</v>
      </c>
      <c r="D19" s="378" t="s">
        <v>38</v>
      </c>
      <c r="E19" s="378" t="s">
        <v>61</v>
      </c>
      <c r="F19" s="378" t="s">
        <v>62</v>
      </c>
      <c r="G19" s="378" t="s">
        <v>760</v>
      </c>
      <c r="H19" s="378" t="s">
        <v>65</v>
      </c>
      <c r="I19" s="378" t="s">
        <v>66</v>
      </c>
      <c r="J19" s="378" t="s">
        <v>67</v>
      </c>
      <c r="K19" s="378" t="s">
        <v>68</v>
      </c>
      <c r="L19" s="378" t="s">
        <v>32</v>
      </c>
      <c r="M19" s="378" t="s">
        <v>602</v>
      </c>
      <c r="N19" s="378"/>
      <c r="O19" s="378"/>
      <c r="P19" s="378"/>
      <c r="Q19" s="378"/>
      <c r="R19" s="75"/>
      <c r="S19" s="75"/>
    </row>
    <row r="20" spans="1:22" s="47" customFormat="1" ht="20.399999999999999" x14ac:dyDescent="0.2">
      <c r="A20" s="378" t="s">
        <v>8</v>
      </c>
      <c r="B20" s="378" t="s">
        <v>600</v>
      </c>
      <c r="C20" s="378" t="s">
        <v>15</v>
      </c>
      <c r="D20" s="378" t="s">
        <v>61</v>
      </c>
      <c r="E20" s="378" t="s">
        <v>62</v>
      </c>
      <c r="F20" s="378" t="s">
        <v>760</v>
      </c>
      <c r="G20" s="378" t="s">
        <v>65</v>
      </c>
      <c r="H20" s="378" t="s">
        <v>66</v>
      </c>
      <c r="I20" s="378" t="s">
        <v>67</v>
      </c>
      <c r="J20" s="378" t="s">
        <v>68</v>
      </c>
      <c r="K20" s="378" t="s">
        <v>602</v>
      </c>
      <c r="L20" s="378" t="s">
        <v>32</v>
      </c>
      <c r="M20" s="378" t="s">
        <v>34</v>
      </c>
      <c r="N20" s="378"/>
      <c r="O20" s="378"/>
      <c r="P20" s="378"/>
      <c r="Q20" s="378"/>
      <c r="R20" s="75"/>
      <c r="S20" s="75"/>
    </row>
    <row r="21" spans="1:22" s="47" customFormat="1" ht="20.399999999999999" x14ac:dyDescent="0.2">
      <c r="A21" s="378" t="s">
        <v>8</v>
      </c>
      <c r="B21" s="378" t="s">
        <v>599</v>
      </c>
      <c r="C21" s="378" t="s">
        <v>15</v>
      </c>
      <c r="D21" s="378" t="s">
        <v>61</v>
      </c>
      <c r="E21" s="378" t="s">
        <v>62</v>
      </c>
      <c r="F21" s="378" t="s">
        <v>760</v>
      </c>
      <c r="G21" s="378" t="s">
        <v>65</v>
      </c>
      <c r="H21" s="378" t="s">
        <v>66</v>
      </c>
      <c r="I21" s="378" t="s">
        <v>67</v>
      </c>
      <c r="J21" s="378" t="s">
        <v>68</v>
      </c>
      <c r="K21" s="378" t="s">
        <v>602</v>
      </c>
      <c r="L21" s="378" t="s">
        <v>32</v>
      </c>
      <c r="M21" s="378" t="s">
        <v>34</v>
      </c>
      <c r="N21" s="378"/>
      <c r="O21" s="378"/>
      <c r="P21" s="378"/>
      <c r="Q21" s="378"/>
      <c r="R21" s="75"/>
      <c r="S21" s="75"/>
    </row>
    <row r="22" spans="1:22" s="47" customFormat="1" ht="20.399999999999999" x14ac:dyDescent="0.2">
      <c r="A22" s="379" t="s">
        <v>7</v>
      </c>
      <c r="B22" s="378" t="s">
        <v>600</v>
      </c>
      <c r="C22" s="378" t="s">
        <v>15</v>
      </c>
      <c r="D22" s="378" t="s">
        <v>61</v>
      </c>
      <c r="E22" s="378" t="s">
        <v>62</v>
      </c>
      <c r="F22" s="378" t="s">
        <v>760</v>
      </c>
      <c r="G22" s="378" t="s">
        <v>65</v>
      </c>
      <c r="H22" s="378" t="s">
        <v>66</v>
      </c>
      <c r="I22" s="378" t="s">
        <v>67</v>
      </c>
      <c r="J22" s="378" t="s">
        <v>68</v>
      </c>
      <c r="K22" s="378" t="s">
        <v>602</v>
      </c>
      <c r="L22" s="378" t="s">
        <v>32</v>
      </c>
      <c r="M22" s="378" t="s">
        <v>33</v>
      </c>
      <c r="N22" s="378"/>
      <c r="O22" s="378"/>
      <c r="P22" s="378"/>
      <c r="Q22" s="380"/>
      <c r="R22" s="75"/>
      <c r="S22" s="75"/>
    </row>
    <row r="23" spans="1:22" s="47" customFormat="1" ht="20.399999999999999" x14ac:dyDescent="0.2">
      <c r="A23" s="378" t="s">
        <v>7</v>
      </c>
      <c r="B23" s="378" t="s">
        <v>599</v>
      </c>
      <c r="C23" s="378" t="s">
        <v>15</v>
      </c>
      <c r="D23" s="378" t="s">
        <v>61</v>
      </c>
      <c r="E23" s="378" t="s">
        <v>62</v>
      </c>
      <c r="F23" s="378" t="s">
        <v>760</v>
      </c>
      <c r="G23" s="378" t="s">
        <v>65</v>
      </c>
      <c r="H23" s="378" t="s">
        <v>66</v>
      </c>
      <c r="I23" s="378" t="s">
        <v>67</v>
      </c>
      <c r="J23" s="378" t="s">
        <v>68</v>
      </c>
      <c r="K23" s="378" t="s">
        <v>602</v>
      </c>
      <c r="L23" s="378" t="s">
        <v>32</v>
      </c>
      <c r="M23" s="378" t="s">
        <v>33</v>
      </c>
      <c r="N23" s="378"/>
      <c r="O23" s="378"/>
      <c r="P23" s="378"/>
      <c r="Q23" s="378"/>
      <c r="R23" s="75"/>
      <c r="S23" s="75"/>
    </row>
    <row r="24" spans="1:22" s="47" customFormat="1" ht="20.399999999999999" x14ac:dyDescent="0.2">
      <c r="A24" s="378" t="s">
        <v>871</v>
      </c>
      <c r="B24" s="378" t="s">
        <v>600</v>
      </c>
      <c r="C24" s="378" t="s">
        <v>15</v>
      </c>
      <c r="D24" s="378" t="s">
        <v>61</v>
      </c>
      <c r="E24" s="378" t="s">
        <v>62</v>
      </c>
      <c r="F24" s="378" t="s">
        <v>68</v>
      </c>
      <c r="G24" s="378" t="s">
        <v>760</v>
      </c>
      <c r="H24" s="378" t="s">
        <v>65</v>
      </c>
      <c r="I24" s="378" t="s">
        <v>66</v>
      </c>
      <c r="J24" s="378" t="s">
        <v>67</v>
      </c>
      <c r="K24" s="378" t="s">
        <v>602</v>
      </c>
      <c r="L24" s="378" t="s">
        <v>32</v>
      </c>
      <c r="M24" s="378" t="s">
        <v>918</v>
      </c>
      <c r="N24" s="378"/>
      <c r="O24" s="378"/>
      <c r="P24" s="378"/>
      <c r="Q24" s="378"/>
      <c r="R24" s="75"/>
      <c r="S24" s="75"/>
    </row>
    <row r="25" spans="1:22" s="47" customFormat="1" ht="20.399999999999999" x14ac:dyDescent="0.2">
      <c r="A25" s="378" t="s">
        <v>871</v>
      </c>
      <c r="B25" s="378" t="s">
        <v>599</v>
      </c>
      <c r="C25" s="378" t="s">
        <v>15</v>
      </c>
      <c r="D25" s="378" t="s">
        <v>61</v>
      </c>
      <c r="E25" s="378" t="s">
        <v>62</v>
      </c>
      <c r="F25" s="378" t="s">
        <v>68</v>
      </c>
      <c r="G25" s="378" t="s">
        <v>760</v>
      </c>
      <c r="H25" s="378" t="s">
        <v>65</v>
      </c>
      <c r="I25" s="378" t="s">
        <v>66</v>
      </c>
      <c r="J25" s="378" t="s">
        <v>67</v>
      </c>
      <c r="K25" s="378" t="s">
        <v>602</v>
      </c>
      <c r="L25" s="378" t="s">
        <v>32</v>
      </c>
      <c r="M25" s="378" t="s">
        <v>918</v>
      </c>
      <c r="N25" s="378"/>
      <c r="O25" s="378"/>
      <c r="P25" s="378"/>
      <c r="Q25" s="378"/>
      <c r="R25" s="75"/>
      <c r="S25" s="75"/>
    </row>
    <row r="26" spans="1:22" s="47" customFormat="1" ht="20.399999999999999" x14ac:dyDescent="0.2">
      <c r="A26" s="72" t="s">
        <v>425</v>
      </c>
      <c r="B26" s="45" t="s">
        <v>600</v>
      </c>
      <c r="C26" s="73" t="s">
        <v>15</v>
      </c>
      <c r="D26" s="73" t="s">
        <v>32</v>
      </c>
      <c r="E26" s="73" t="s">
        <v>417</v>
      </c>
      <c r="F26" s="73" t="s">
        <v>61</v>
      </c>
      <c r="G26" s="73" t="s">
        <v>62</v>
      </c>
      <c r="H26" s="73" t="s">
        <v>760</v>
      </c>
      <c r="I26" s="73" t="s">
        <v>65</v>
      </c>
      <c r="J26" s="73" t="s">
        <v>66</v>
      </c>
      <c r="K26" s="73" t="s">
        <v>67</v>
      </c>
      <c r="L26" s="73" t="s">
        <v>68</v>
      </c>
      <c r="M26" s="73" t="s">
        <v>602</v>
      </c>
      <c r="N26" s="73"/>
      <c r="O26" s="73"/>
      <c r="P26" s="73"/>
      <c r="Q26" s="71"/>
    </row>
    <row r="27" spans="1:22" s="47" customFormat="1" ht="20.399999999999999" x14ac:dyDescent="0.2">
      <c r="A27" s="378" t="s">
        <v>425</v>
      </c>
      <c r="B27" s="378" t="s">
        <v>599</v>
      </c>
      <c r="C27" s="378" t="s">
        <v>15</v>
      </c>
      <c r="D27" s="378" t="s">
        <v>32</v>
      </c>
      <c r="E27" s="378" t="s">
        <v>417</v>
      </c>
      <c r="F27" s="378" t="s">
        <v>61</v>
      </c>
      <c r="G27" s="378" t="s">
        <v>62</v>
      </c>
      <c r="H27" s="378" t="s">
        <v>760</v>
      </c>
      <c r="I27" s="378" t="s">
        <v>65</v>
      </c>
      <c r="J27" s="378" t="s">
        <v>66</v>
      </c>
      <c r="K27" s="378" t="s">
        <v>67</v>
      </c>
      <c r="L27" s="378" t="s">
        <v>68</v>
      </c>
      <c r="M27" s="378" t="s">
        <v>602</v>
      </c>
      <c r="N27" s="378"/>
      <c r="O27" s="378"/>
      <c r="P27" s="378"/>
      <c r="Q27" s="378"/>
      <c r="R27" s="75"/>
      <c r="S27" s="75"/>
    </row>
    <row r="28" spans="1:22" s="47" customFormat="1" ht="30.6" x14ac:dyDescent="0.2">
      <c r="A28" s="385" t="s">
        <v>949</v>
      </c>
      <c r="B28" s="378" t="s">
        <v>600</v>
      </c>
      <c r="C28" s="378" t="s">
        <v>15</v>
      </c>
      <c r="D28" s="378" t="s">
        <v>61</v>
      </c>
      <c r="E28" s="378" t="s">
        <v>62</v>
      </c>
      <c r="F28" s="378" t="s">
        <v>760</v>
      </c>
      <c r="G28" s="378" t="s">
        <v>65</v>
      </c>
      <c r="H28" s="378" t="s">
        <v>66</v>
      </c>
      <c r="I28" s="378" t="s">
        <v>67</v>
      </c>
      <c r="J28" s="378" t="s">
        <v>68</v>
      </c>
      <c r="K28" s="378" t="s">
        <v>602</v>
      </c>
      <c r="L28" s="378" t="s">
        <v>950</v>
      </c>
      <c r="M28" s="378" t="s">
        <v>32</v>
      </c>
      <c r="N28" s="378" t="s">
        <v>444</v>
      </c>
      <c r="O28" s="378" t="s">
        <v>558</v>
      </c>
      <c r="P28" s="378" t="s">
        <v>38</v>
      </c>
      <c r="Q28" s="378" t="s">
        <v>543</v>
      </c>
      <c r="R28" s="75" t="s">
        <v>546</v>
      </c>
      <c r="S28" s="75" t="s">
        <v>545</v>
      </c>
      <c r="T28" s="47" t="s">
        <v>417</v>
      </c>
      <c r="U28" s="47" t="s">
        <v>416</v>
      </c>
      <c r="V28" s="47" t="s">
        <v>40</v>
      </c>
    </row>
    <row r="29" spans="1:22" s="47" customFormat="1" ht="20.399999999999999" x14ac:dyDescent="0.2">
      <c r="A29" s="378" t="s">
        <v>52</v>
      </c>
      <c r="B29" s="378" t="s">
        <v>600</v>
      </c>
      <c r="C29" s="378" t="s">
        <v>15</v>
      </c>
      <c r="D29" s="378" t="s">
        <v>115</v>
      </c>
      <c r="E29" s="378" t="s">
        <v>16</v>
      </c>
      <c r="F29" s="378" t="s">
        <v>22</v>
      </c>
      <c r="G29" s="378" t="s">
        <v>61</v>
      </c>
      <c r="H29" s="378" t="s">
        <v>62</v>
      </c>
      <c r="I29" s="378" t="s">
        <v>760</v>
      </c>
      <c r="J29" s="378" t="s">
        <v>65</v>
      </c>
      <c r="K29" s="378" t="s">
        <v>66</v>
      </c>
      <c r="L29" s="378" t="s">
        <v>67</v>
      </c>
      <c r="M29" s="378" t="s">
        <v>68</v>
      </c>
      <c r="N29" s="378" t="s">
        <v>602</v>
      </c>
      <c r="O29" s="378"/>
      <c r="P29" s="378"/>
      <c r="Q29" s="378"/>
      <c r="R29" s="75"/>
      <c r="S29" s="75"/>
    </row>
    <row r="30" spans="1:22" s="47" customFormat="1" ht="20.399999999999999" x14ac:dyDescent="0.2">
      <c r="A30" s="379" t="s">
        <v>52</v>
      </c>
      <c r="B30" s="378" t="s">
        <v>599</v>
      </c>
      <c r="C30" s="378" t="s">
        <v>15</v>
      </c>
      <c r="D30" s="378" t="s">
        <v>115</v>
      </c>
      <c r="E30" s="378" t="s">
        <v>16</v>
      </c>
      <c r="F30" s="378" t="s">
        <v>22</v>
      </c>
      <c r="G30" s="378" t="s">
        <v>61</v>
      </c>
      <c r="H30" s="378" t="s">
        <v>62</v>
      </c>
      <c r="I30" s="378" t="s">
        <v>760</v>
      </c>
      <c r="J30" s="378" t="s">
        <v>65</v>
      </c>
      <c r="K30" s="378" t="s">
        <v>66</v>
      </c>
      <c r="L30" s="378" t="s">
        <v>67</v>
      </c>
      <c r="M30" s="378" t="s">
        <v>68</v>
      </c>
      <c r="N30" s="378" t="s">
        <v>602</v>
      </c>
      <c r="O30" s="378"/>
      <c r="P30" s="378"/>
      <c r="Q30" s="380"/>
      <c r="R30" s="75"/>
      <c r="S30" s="75"/>
    </row>
    <row r="31" spans="1:22" s="47" customFormat="1" ht="20.399999999999999" x14ac:dyDescent="0.2">
      <c r="A31" s="378" t="s">
        <v>561</v>
      </c>
      <c r="B31" s="378" t="s">
        <v>600</v>
      </c>
      <c r="C31" s="378" t="s">
        <v>15</v>
      </c>
      <c r="D31" s="378" t="s">
        <v>17</v>
      </c>
      <c r="E31" s="378" t="s">
        <v>99</v>
      </c>
      <c r="F31" s="378" t="s">
        <v>61</v>
      </c>
      <c r="G31" s="378" t="s">
        <v>62</v>
      </c>
      <c r="H31" s="378" t="s">
        <v>760</v>
      </c>
      <c r="I31" s="378" t="s">
        <v>65</v>
      </c>
      <c r="J31" s="378" t="s">
        <v>66</v>
      </c>
      <c r="K31" s="378" t="s">
        <v>67</v>
      </c>
      <c r="L31" s="378" t="s">
        <v>68</v>
      </c>
      <c r="M31" s="378" t="s">
        <v>602</v>
      </c>
      <c r="N31" s="378"/>
      <c r="O31" s="378"/>
      <c r="P31" s="378"/>
      <c r="Q31" s="378"/>
      <c r="R31" s="75"/>
      <c r="S31" s="75"/>
    </row>
    <row r="32" spans="1:22" s="47" customFormat="1" ht="20.399999999999999" x14ac:dyDescent="0.2">
      <c r="A32" s="378" t="s">
        <v>561</v>
      </c>
      <c r="B32" s="378" t="s">
        <v>599</v>
      </c>
      <c r="C32" s="378" t="s">
        <v>15</v>
      </c>
      <c r="D32" s="378" t="s">
        <v>17</v>
      </c>
      <c r="E32" s="378" t="s">
        <v>99</v>
      </c>
      <c r="F32" s="378" t="s">
        <v>61</v>
      </c>
      <c r="G32" s="378" t="s">
        <v>62</v>
      </c>
      <c r="H32" s="378" t="s">
        <v>760</v>
      </c>
      <c r="I32" s="378" t="s">
        <v>65</v>
      </c>
      <c r="J32" s="378" t="s">
        <v>66</v>
      </c>
      <c r="K32" s="378" t="s">
        <v>67</v>
      </c>
      <c r="L32" s="378" t="s">
        <v>68</v>
      </c>
      <c r="M32" s="378" t="s">
        <v>602</v>
      </c>
      <c r="N32" s="378"/>
      <c r="O32" s="378"/>
      <c r="P32" s="378"/>
      <c r="Q32" s="378"/>
      <c r="R32" s="75"/>
      <c r="S32" s="75"/>
    </row>
    <row r="33" spans="1:50" s="47" customFormat="1" ht="20.399999999999999" x14ac:dyDescent="0.2">
      <c r="A33" s="378" t="s">
        <v>56</v>
      </c>
      <c r="B33" s="378" t="s">
        <v>600</v>
      </c>
      <c r="C33" s="378" t="s">
        <v>15</v>
      </c>
      <c r="D33" s="378" t="s">
        <v>115</v>
      </c>
      <c r="E33" s="378" t="s">
        <v>169</v>
      </c>
      <c r="F33" s="378" t="s">
        <v>34</v>
      </c>
      <c r="G33" s="378" t="s">
        <v>61</v>
      </c>
      <c r="H33" s="378" t="s">
        <v>62</v>
      </c>
      <c r="I33" s="378" t="s">
        <v>760</v>
      </c>
      <c r="J33" s="378" t="s">
        <v>65</v>
      </c>
      <c r="K33" s="378" t="s">
        <v>66</v>
      </c>
      <c r="L33" s="378" t="s">
        <v>67</v>
      </c>
      <c r="M33" s="378" t="s">
        <v>68</v>
      </c>
      <c r="N33" s="378" t="s">
        <v>602</v>
      </c>
      <c r="O33" s="378"/>
      <c r="P33" s="378"/>
      <c r="Q33" s="378"/>
      <c r="R33" s="75"/>
      <c r="S33" s="75"/>
    </row>
    <row r="34" spans="1:50" s="47" customFormat="1" ht="20.399999999999999" x14ac:dyDescent="0.2">
      <c r="A34" s="378" t="s">
        <v>56</v>
      </c>
      <c r="B34" s="378" t="s">
        <v>599</v>
      </c>
      <c r="C34" s="378" t="s">
        <v>15</v>
      </c>
      <c r="D34" s="378" t="s">
        <v>115</v>
      </c>
      <c r="E34" s="378" t="s">
        <v>169</v>
      </c>
      <c r="F34" s="378" t="s">
        <v>34</v>
      </c>
      <c r="G34" s="378" t="s">
        <v>61</v>
      </c>
      <c r="H34" s="378" t="s">
        <v>62</v>
      </c>
      <c r="I34" s="378" t="s">
        <v>760</v>
      </c>
      <c r="J34" s="378" t="s">
        <v>65</v>
      </c>
      <c r="K34" s="378" t="s">
        <v>66</v>
      </c>
      <c r="L34" s="378" t="s">
        <v>67</v>
      </c>
      <c r="M34" s="378" t="s">
        <v>68</v>
      </c>
      <c r="N34" s="378" t="s">
        <v>602</v>
      </c>
      <c r="O34" s="378"/>
      <c r="P34" s="378"/>
      <c r="Q34" s="378"/>
      <c r="R34" s="75"/>
      <c r="S34" s="75"/>
    </row>
    <row r="35" spans="1:50" s="47" customFormat="1" ht="20.399999999999999" x14ac:dyDescent="0.2">
      <c r="A35" s="378" t="s">
        <v>55</v>
      </c>
      <c r="B35" s="378" t="s">
        <v>600</v>
      </c>
      <c r="C35" s="378" t="s">
        <v>15</v>
      </c>
      <c r="D35" s="378" t="s">
        <v>115</v>
      </c>
      <c r="E35" s="378" t="s">
        <v>169</v>
      </c>
      <c r="F35" s="378" t="s">
        <v>32</v>
      </c>
      <c r="G35" s="378" t="s">
        <v>61</v>
      </c>
      <c r="H35" s="378" t="s">
        <v>62</v>
      </c>
      <c r="I35" s="378" t="s">
        <v>760</v>
      </c>
      <c r="J35" s="378" t="s">
        <v>65</v>
      </c>
      <c r="K35" s="378" t="s">
        <v>66</v>
      </c>
      <c r="L35" s="378" t="s">
        <v>67</v>
      </c>
      <c r="M35" s="378" t="s">
        <v>68</v>
      </c>
      <c r="N35" s="378" t="s">
        <v>602</v>
      </c>
      <c r="O35" s="378"/>
      <c r="P35" s="378"/>
      <c r="Q35" s="378"/>
      <c r="R35" s="75"/>
      <c r="S35" s="75"/>
    </row>
    <row r="36" spans="1:50" s="47" customFormat="1" ht="20.399999999999999" x14ac:dyDescent="0.2">
      <c r="A36" s="378" t="s">
        <v>55</v>
      </c>
      <c r="B36" s="378" t="s">
        <v>599</v>
      </c>
      <c r="C36" s="378" t="s">
        <v>15</v>
      </c>
      <c r="D36" s="378" t="s">
        <v>115</v>
      </c>
      <c r="E36" s="378" t="s">
        <v>169</v>
      </c>
      <c r="F36" s="378" t="s">
        <v>32</v>
      </c>
      <c r="G36" s="378" t="s">
        <v>61</v>
      </c>
      <c r="H36" s="378" t="s">
        <v>62</v>
      </c>
      <c r="I36" s="378" t="s">
        <v>760</v>
      </c>
      <c r="J36" s="378" t="s">
        <v>65</v>
      </c>
      <c r="K36" s="378" t="s">
        <v>66</v>
      </c>
      <c r="L36" s="378" t="s">
        <v>67</v>
      </c>
      <c r="M36" s="378" t="s">
        <v>68</v>
      </c>
      <c r="N36" s="378" t="s">
        <v>602</v>
      </c>
      <c r="O36" s="378"/>
      <c r="P36" s="378"/>
      <c r="Q36" s="378"/>
      <c r="R36" s="75"/>
      <c r="S36" s="75"/>
    </row>
    <row r="37" spans="1:50" s="47" customFormat="1" ht="20.399999999999999" x14ac:dyDescent="0.2">
      <c r="A37" s="378" t="s">
        <v>58</v>
      </c>
      <c r="B37" s="378" t="s">
        <v>600</v>
      </c>
      <c r="C37" s="378" t="s">
        <v>15</v>
      </c>
      <c r="D37" s="378" t="s">
        <v>115</v>
      </c>
      <c r="E37" s="378" t="s">
        <v>168</v>
      </c>
      <c r="F37" s="378" t="s">
        <v>32</v>
      </c>
      <c r="G37" s="378" t="s">
        <v>61</v>
      </c>
      <c r="H37" s="378" t="s">
        <v>62</v>
      </c>
      <c r="I37" s="378" t="s">
        <v>760</v>
      </c>
      <c r="J37" s="378" t="s">
        <v>65</v>
      </c>
      <c r="K37" s="378" t="s">
        <v>66</v>
      </c>
      <c r="L37" s="378" t="s">
        <v>67</v>
      </c>
      <c r="M37" s="378" t="s">
        <v>68</v>
      </c>
      <c r="N37" s="378" t="s">
        <v>602</v>
      </c>
      <c r="O37" s="378"/>
      <c r="P37" s="378"/>
      <c r="Q37" s="378"/>
      <c r="R37" s="75"/>
      <c r="S37" s="75"/>
    </row>
    <row r="38" spans="1:50" s="47" customFormat="1" ht="20.399999999999999" x14ac:dyDescent="0.2">
      <c r="A38" s="378" t="s">
        <v>58</v>
      </c>
      <c r="B38" s="378" t="s">
        <v>599</v>
      </c>
      <c r="C38" s="378" t="s">
        <v>15</v>
      </c>
      <c r="D38" s="378" t="s">
        <v>115</v>
      </c>
      <c r="E38" s="378" t="s">
        <v>168</v>
      </c>
      <c r="F38" s="378" t="s">
        <v>32</v>
      </c>
      <c r="G38" s="378" t="s">
        <v>61</v>
      </c>
      <c r="H38" s="378" t="s">
        <v>62</v>
      </c>
      <c r="I38" s="378" t="s">
        <v>760</v>
      </c>
      <c r="J38" s="378" t="s">
        <v>65</v>
      </c>
      <c r="K38" s="378" t="s">
        <v>66</v>
      </c>
      <c r="L38" s="378" t="s">
        <v>67</v>
      </c>
      <c r="M38" s="378" t="s">
        <v>68</v>
      </c>
      <c r="N38" s="378" t="s">
        <v>602</v>
      </c>
      <c r="O38" s="378"/>
      <c r="P38" s="378"/>
      <c r="Q38" s="378"/>
      <c r="R38" s="75"/>
      <c r="S38" s="75"/>
    </row>
    <row r="39" spans="1:50" s="47" customFormat="1" ht="20.399999999999999" x14ac:dyDescent="0.2">
      <c r="A39" s="378" t="s">
        <v>57</v>
      </c>
      <c r="B39" s="378" t="s">
        <v>600</v>
      </c>
      <c r="C39" s="378" t="s">
        <v>15</v>
      </c>
      <c r="D39" s="378" t="s">
        <v>115</v>
      </c>
      <c r="E39" s="378" t="s">
        <v>168</v>
      </c>
      <c r="F39" s="378" t="s">
        <v>34</v>
      </c>
      <c r="G39" s="378" t="s">
        <v>61</v>
      </c>
      <c r="H39" s="378" t="s">
        <v>62</v>
      </c>
      <c r="I39" s="378" t="s">
        <v>760</v>
      </c>
      <c r="J39" s="378" t="s">
        <v>65</v>
      </c>
      <c r="K39" s="378" t="s">
        <v>66</v>
      </c>
      <c r="L39" s="378" t="s">
        <v>67</v>
      </c>
      <c r="M39" s="378" t="s">
        <v>68</v>
      </c>
      <c r="N39" s="378" t="s">
        <v>602</v>
      </c>
      <c r="O39" s="378"/>
      <c r="P39" s="378"/>
      <c r="Q39" s="378"/>
      <c r="R39" s="75"/>
      <c r="S39" s="75"/>
    </row>
    <row r="40" spans="1:50" s="47" customFormat="1" ht="20.399999999999999" x14ac:dyDescent="0.2">
      <c r="A40" s="378" t="s">
        <v>57</v>
      </c>
      <c r="B40" s="378" t="s">
        <v>599</v>
      </c>
      <c r="C40" s="378" t="s">
        <v>15</v>
      </c>
      <c r="D40" s="378" t="s">
        <v>115</v>
      </c>
      <c r="E40" s="378" t="s">
        <v>168</v>
      </c>
      <c r="F40" s="378" t="s">
        <v>34</v>
      </c>
      <c r="G40" s="378" t="s">
        <v>61</v>
      </c>
      <c r="H40" s="378" t="s">
        <v>62</v>
      </c>
      <c r="I40" s="378" t="s">
        <v>760</v>
      </c>
      <c r="J40" s="378" t="s">
        <v>65</v>
      </c>
      <c r="K40" s="378" t="s">
        <v>66</v>
      </c>
      <c r="L40" s="378" t="s">
        <v>67</v>
      </c>
      <c r="M40" s="378" t="s">
        <v>68</v>
      </c>
      <c r="N40" s="378" t="s">
        <v>602</v>
      </c>
      <c r="O40" s="378"/>
      <c r="P40" s="378"/>
      <c r="Q40" s="378"/>
      <c r="R40" s="75"/>
      <c r="S40" s="75"/>
    </row>
    <row r="41" spans="1:50" s="47" customFormat="1" ht="20.399999999999999" x14ac:dyDescent="0.2">
      <c r="A41" s="378" t="s">
        <v>424</v>
      </c>
      <c r="B41" s="378" t="s">
        <v>600</v>
      </c>
      <c r="C41" s="378" t="s">
        <v>15</v>
      </c>
      <c r="D41" s="378" t="s">
        <v>34</v>
      </c>
      <c r="E41" s="378" t="s">
        <v>417</v>
      </c>
      <c r="F41" s="378" t="s">
        <v>61</v>
      </c>
      <c r="G41" s="378" t="s">
        <v>62</v>
      </c>
      <c r="H41" s="378" t="s">
        <v>760</v>
      </c>
      <c r="I41" s="378" t="s">
        <v>65</v>
      </c>
      <c r="J41" s="378" t="s">
        <v>66</v>
      </c>
      <c r="K41" s="378" t="s">
        <v>67</v>
      </c>
      <c r="L41" s="378" t="s">
        <v>68</v>
      </c>
      <c r="M41" s="378" t="s">
        <v>602</v>
      </c>
      <c r="N41" s="378"/>
      <c r="O41" s="378"/>
      <c r="P41" s="378"/>
      <c r="Q41" s="378"/>
      <c r="R41" s="75"/>
      <c r="S41" s="75"/>
    </row>
    <row r="42" spans="1:50" s="47" customFormat="1" ht="20.399999999999999" x14ac:dyDescent="0.2">
      <c r="A42" s="378" t="s">
        <v>424</v>
      </c>
      <c r="B42" s="378" t="s">
        <v>599</v>
      </c>
      <c r="C42" s="378" t="s">
        <v>15</v>
      </c>
      <c r="D42" s="378" t="s">
        <v>34</v>
      </c>
      <c r="E42" s="378" t="s">
        <v>417</v>
      </c>
      <c r="F42" s="378" t="s">
        <v>61</v>
      </c>
      <c r="G42" s="378" t="s">
        <v>62</v>
      </c>
      <c r="H42" s="378" t="s">
        <v>760</v>
      </c>
      <c r="I42" s="378" t="s">
        <v>65</v>
      </c>
      <c r="J42" s="378" t="s">
        <v>66</v>
      </c>
      <c r="K42" s="378" t="s">
        <v>67</v>
      </c>
      <c r="L42" s="378" t="s">
        <v>68</v>
      </c>
      <c r="M42" s="378" t="s">
        <v>602</v>
      </c>
      <c r="N42" s="378"/>
      <c r="O42" s="378"/>
      <c r="P42" s="378"/>
      <c r="Q42" s="378"/>
      <c r="R42" s="75"/>
      <c r="S42" s="75"/>
    </row>
    <row r="43" spans="1:50" s="47" customFormat="1" ht="20.399999999999999" x14ac:dyDescent="0.2">
      <c r="A43" s="379" t="s">
        <v>3</v>
      </c>
      <c r="B43" s="378" t="s">
        <v>600</v>
      </c>
      <c r="C43" s="378" t="s">
        <v>15</v>
      </c>
      <c r="D43" s="378" t="s">
        <v>27</v>
      </c>
      <c r="E43" s="378" t="s">
        <v>95</v>
      </c>
      <c r="F43" s="378" t="s">
        <v>73</v>
      </c>
      <c r="G43" s="378" t="s">
        <v>113</v>
      </c>
      <c r="H43" s="378" t="s">
        <v>17</v>
      </c>
      <c r="I43" s="378" t="s">
        <v>549</v>
      </c>
      <c r="J43" s="378" t="s">
        <v>550</v>
      </c>
      <c r="K43" s="378" t="s">
        <v>551</v>
      </c>
      <c r="L43" s="378" t="s">
        <v>552</v>
      </c>
      <c r="M43" s="378" t="s">
        <v>553</v>
      </c>
      <c r="N43" s="378" t="s">
        <v>72</v>
      </c>
      <c r="O43" s="378" t="s">
        <v>85</v>
      </c>
      <c r="P43" s="378" t="s">
        <v>61</v>
      </c>
      <c r="Q43" s="380" t="s">
        <v>62</v>
      </c>
      <c r="R43" s="75" t="s">
        <v>760</v>
      </c>
      <c r="S43" s="75" t="s">
        <v>65</v>
      </c>
      <c r="T43" s="47" t="s">
        <v>66</v>
      </c>
      <c r="U43" s="47" t="s">
        <v>67</v>
      </c>
      <c r="V43" s="47" t="s">
        <v>68</v>
      </c>
      <c r="W43" s="47" t="s">
        <v>554</v>
      </c>
      <c r="X43" s="47" t="s">
        <v>773</v>
      </c>
      <c r="Y43" s="47" t="s">
        <v>774</v>
      </c>
      <c r="Z43" s="47" t="s">
        <v>775</v>
      </c>
      <c r="AA43" s="47" t="s">
        <v>284</v>
      </c>
      <c r="AB43" s="47" t="s">
        <v>274</v>
      </c>
      <c r="AC43" s="47" t="s">
        <v>285</v>
      </c>
      <c r="AD43" s="47" t="s">
        <v>275</v>
      </c>
      <c r="AE43" s="47" t="s">
        <v>555</v>
      </c>
      <c r="AF43" s="47" t="s">
        <v>556</v>
      </c>
      <c r="AG43" s="47" t="s">
        <v>776</v>
      </c>
      <c r="AH43" s="47" t="s">
        <v>777</v>
      </c>
      <c r="AI43" s="47" t="s">
        <v>778</v>
      </c>
      <c r="AJ43" s="47" t="s">
        <v>557</v>
      </c>
      <c r="AK43" s="47" t="s">
        <v>779</v>
      </c>
      <c r="AL43" s="47" t="s">
        <v>780</v>
      </c>
      <c r="AM43" s="47" t="s">
        <v>781</v>
      </c>
      <c r="AN43" s="47" t="s">
        <v>782</v>
      </c>
      <c r="AO43" s="47" t="s">
        <v>783</v>
      </c>
      <c r="AP43" s="47" t="s">
        <v>784</v>
      </c>
      <c r="AQ43" s="47" t="s">
        <v>785</v>
      </c>
      <c r="AR43" s="47" t="s">
        <v>786</v>
      </c>
      <c r="AS43" s="47" t="s">
        <v>787</v>
      </c>
      <c r="AT43" s="47" t="s">
        <v>771</v>
      </c>
      <c r="AU43" s="47" t="s">
        <v>558</v>
      </c>
      <c r="AV43" s="47" t="s">
        <v>602</v>
      </c>
      <c r="AW43" s="47" t="s">
        <v>919</v>
      </c>
      <c r="AX43" s="47" t="s">
        <v>920</v>
      </c>
    </row>
    <row r="44" spans="1:50" s="47" customFormat="1" ht="20.399999999999999" x14ac:dyDescent="0.2">
      <c r="A44" s="378" t="s">
        <v>3</v>
      </c>
      <c r="B44" s="378" t="s">
        <v>599</v>
      </c>
      <c r="C44" s="378" t="s">
        <v>15</v>
      </c>
      <c r="D44" s="378" t="s">
        <v>27</v>
      </c>
      <c r="E44" s="378" t="s">
        <v>95</v>
      </c>
      <c r="F44" s="378" t="s">
        <v>73</v>
      </c>
      <c r="G44" s="378" t="s">
        <v>113</v>
      </c>
      <c r="H44" s="378" t="s">
        <v>17</v>
      </c>
      <c r="I44" s="378" t="s">
        <v>549</v>
      </c>
      <c r="J44" s="378" t="s">
        <v>550</v>
      </c>
      <c r="K44" s="378" t="s">
        <v>551</v>
      </c>
      <c r="L44" s="378" t="s">
        <v>552</v>
      </c>
      <c r="M44" s="378" t="s">
        <v>553</v>
      </c>
      <c r="N44" s="378" t="s">
        <v>72</v>
      </c>
      <c r="O44" s="378" t="s">
        <v>85</v>
      </c>
      <c r="P44" s="378" t="s">
        <v>61</v>
      </c>
      <c r="Q44" s="378" t="s">
        <v>62</v>
      </c>
      <c r="R44" s="75" t="s">
        <v>760</v>
      </c>
      <c r="S44" s="75" t="s">
        <v>65</v>
      </c>
      <c r="T44" s="47" t="s">
        <v>66</v>
      </c>
      <c r="U44" s="47" t="s">
        <v>67</v>
      </c>
      <c r="V44" s="47" t="s">
        <v>68</v>
      </c>
      <c r="W44" s="47" t="s">
        <v>554</v>
      </c>
      <c r="X44" s="47" t="s">
        <v>773</v>
      </c>
      <c r="Y44" s="47" t="s">
        <v>774</v>
      </c>
      <c r="Z44" s="47" t="s">
        <v>775</v>
      </c>
      <c r="AA44" s="47" t="s">
        <v>284</v>
      </c>
      <c r="AB44" s="47" t="s">
        <v>274</v>
      </c>
      <c r="AC44" s="47" t="s">
        <v>285</v>
      </c>
      <c r="AD44" s="47" t="s">
        <v>275</v>
      </c>
      <c r="AE44" s="47" t="s">
        <v>555</v>
      </c>
      <c r="AF44" s="47" t="s">
        <v>556</v>
      </c>
      <c r="AG44" s="47" t="s">
        <v>776</v>
      </c>
      <c r="AH44" s="47" t="s">
        <v>777</v>
      </c>
      <c r="AI44" s="47" t="s">
        <v>778</v>
      </c>
      <c r="AJ44" s="47" t="s">
        <v>557</v>
      </c>
      <c r="AK44" s="47" t="s">
        <v>779</v>
      </c>
      <c r="AL44" s="47" t="s">
        <v>780</v>
      </c>
      <c r="AM44" s="47" t="s">
        <v>781</v>
      </c>
      <c r="AN44" s="47" t="s">
        <v>782</v>
      </c>
      <c r="AO44" s="47" t="s">
        <v>783</v>
      </c>
      <c r="AP44" s="47" t="s">
        <v>784</v>
      </c>
      <c r="AQ44" s="47" t="s">
        <v>785</v>
      </c>
      <c r="AR44" s="47" t="s">
        <v>786</v>
      </c>
      <c r="AS44" s="47" t="s">
        <v>787</v>
      </c>
      <c r="AT44" s="47" t="s">
        <v>771</v>
      </c>
      <c r="AU44" s="47" t="s">
        <v>558</v>
      </c>
      <c r="AV44" s="47" t="s">
        <v>602</v>
      </c>
      <c r="AW44" s="47" t="s">
        <v>919</v>
      </c>
      <c r="AX44" s="47" t="s">
        <v>920</v>
      </c>
    </row>
    <row r="45" spans="1:50" s="47" customFormat="1" ht="20.399999999999999" x14ac:dyDescent="0.2">
      <c r="A45" s="378" t="s">
        <v>409</v>
      </c>
      <c r="B45" s="378" t="s">
        <v>600</v>
      </c>
      <c r="C45" s="378" t="s">
        <v>15</v>
      </c>
      <c r="D45" s="378" t="s">
        <v>27</v>
      </c>
      <c r="E45" s="378" t="s">
        <v>120</v>
      </c>
      <c r="F45" s="378" t="s">
        <v>121</v>
      </c>
      <c r="G45" s="378" t="s">
        <v>122</v>
      </c>
      <c r="H45" s="378" t="s">
        <v>279</v>
      </c>
      <c r="I45" s="378" t="s">
        <v>280</v>
      </c>
      <c r="J45" s="378" t="s">
        <v>126</v>
      </c>
      <c r="K45" s="378" t="s">
        <v>545</v>
      </c>
      <c r="L45" s="378" t="s">
        <v>61</v>
      </c>
      <c r="M45" s="378" t="s">
        <v>62</v>
      </c>
      <c r="N45" s="378" t="s">
        <v>760</v>
      </c>
      <c r="O45" s="378" t="s">
        <v>65</v>
      </c>
      <c r="P45" s="378" t="s">
        <v>66</v>
      </c>
      <c r="Q45" s="378" t="s">
        <v>67</v>
      </c>
      <c r="R45" s="75" t="s">
        <v>68</v>
      </c>
      <c r="S45" s="75" t="s">
        <v>602</v>
      </c>
    </row>
    <row r="46" spans="1:50" s="47" customFormat="1" ht="20.399999999999999" x14ac:dyDescent="0.2">
      <c r="A46" s="379" t="s">
        <v>409</v>
      </c>
      <c r="B46" s="378" t="s">
        <v>599</v>
      </c>
      <c r="C46" s="378" t="s">
        <v>15</v>
      </c>
      <c r="D46" s="378" t="s">
        <v>27</v>
      </c>
      <c r="E46" s="378" t="s">
        <v>120</v>
      </c>
      <c r="F46" s="378" t="s">
        <v>121</v>
      </c>
      <c r="G46" s="378" t="s">
        <v>122</v>
      </c>
      <c r="H46" s="378" t="s">
        <v>279</v>
      </c>
      <c r="I46" s="378" t="s">
        <v>280</v>
      </c>
      <c r="J46" s="378" t="s">
        <v>126</v>
      </c>
      <c r="K46" s="378" t="s">
        <v>545</v>
      </c>
      <c r="L46" s="378" t="s">
        <v>61</v>
      </c>
      <c r="M46" s="378" t="s">
        <v>62</v>
      </c>
      <c r="N46" s="378" t="s">
        <v>760</v>
      </c>
      <c r="O46" s="378" t="s">
        <v>65</v>
      </c>
      <c r="P46" s="378" t="s">
        <v>66</v>
      </c>
      <c r="Q46" s="380" t="s">
        <v>67</v>
      </c>
      <c r="R46" s="75" t="s">
        <v>68</v>
      </c>
      <c r="S46" s="75" t="s">
        <v>602</v>
      </c>
    </row>
    <row r="47" spans="1:50" s="47" customFormat="1" ht="20.399999999999999" x14ac:dyDescent="0.2">
      <c r="A47" s="378" t="s">
        <v>44</v>
      </c>
      <c r="B47" s="378" t="s">
        <v>600</v>
      </c>
      <c r="C47" s="378" t="s">
        <v>15</v>
      </c>
      <c r="D47" s="378" t="s">
        <v>60</v>
      </c>
      <c r="E47" s="378" t="s">
        <v>65</v>
      </c>
      <c r="F47" s="378" t="s">
        <v>438</v>
      </c>
      <c r="G47" s="378" t="s">
        <v>61</v>
      </c>
      <c r="H47" s="378" t="s">
        <v>601</v>
      </c>
      <c r="I47" s="378" t="s">
        <v>755</v>
      </c>
      <c r="J47" s="378"/>
      <c r="K47" s="378"/>
      <c r="L47" s="378"/>
      <c r="M47" s="378"/>
      <c r="N47" s="378"/>
      <c r="O47" s="378"/>
      <c r="P47" s="378"/>
      <c r="Q47" s="378"/>
      <c r="R47" s="75"/>
      <c r="S47" s="75"/>
    </row>
    <row r="48" spans="1:50" s="47" customFormat="1" ht="20.399999999999999" x14ac:dyDescent="0.2">
      <c r="A48" s="378" t="s">
        <v>44</v>
      </c>
      <c r="B48" s="378" t="s">
        <v>599</v>
      </c>
      <c r="C48" s="378" t="s">
        <v>15</v>
      </c>
      <c r="D48" s="378" t="s">
        <v>60</v>
      </c>
      <c r="E48" s="378" t="s">
        <v>65</v>
      </c>
      <c r="F48" s="378" t="s">
        <v>438</v>
      </c>
      <c r="G48" s="378" t="s">
        <v>61</v>
      </c>
      <c r="H48" s="378" t="s">
        <v>601</v>
      </c>
      <c r="I48" s="378" t="s">
        <v>755</v>
      </c>
      <c r="J48" s="378"/>
      <c r="K48" s="378"/>
      <c r="L48" s="378"/>
      <c r="M48" s="378"/>
      <c r="N48" s="378"/>
      <c r="O48" s="378"/>
      <c r="P48" s="378"/>
      <c r="Q48" s="378"/>
      <c r="R48" s="75"/>
      <c r="S48" s="75"/>
    </row>
    <row r="49" spans="1:35" s="47" customFormat="1" ht="20.399999999999999" x14ac:dyDescent="0.2">
      <c r="A49" s="378" t="s">
        <v>562</v>
      </c>
      <c r="B49" s="378" t="s">
        <v>600</v>
      </c>
      <c r="C49" s="378" t="s">
        <v>15</v>
      </c>
      <c r="D49" s="378" t="s">
        <v>563</v>
      </c>
      <c r="E49" s="378" t="s">
        <v>522</v>
      </c>
      <c r="F49" s="378" t="s">
        <v>61</v>
      </c>
      <c r="G49" s="378" t="s">
        <v>67</v>
      </c>
      <c r="H49" s="378"/>
      <c r="I49" s="378"/>
      <c r="J49" s="378"/>
      <c r="K49" s="378"/>
      <c r="L49" s="378"/>
      <c r="M49" s="378"/>
      <c r="N49" s="378"/>
      <c r="O49" s="378"/>
      <c r="P49" s="378"/>
      <c r="Q49" s="378"/>
      <c r="R49" s="75"/>
      <c r="S49" s="75"/>
    </row>
    <row r="50" spans="1:35" s="47" customFormat="1" ht="20.399999999999999" x14ac:dyDescent="0.2">
      <c r="A50" s="378" t="s">
        <v>562</v>
      </c>
      <c r="B50" s="378" t="s">
        <v>599</v>
      </c>
      <c r="C50" s="378" t="s">
        <v>15</v>
      </c>
      <c r="D50" s="378" t="s">
        <v>563</v>
      </c>
      <c r="E50" s="378" t="s">
        <v>522</v>
      </c>
      <c r="F50" s="378" t="s">
        <v>61</v>
      </c>
      <c r="G50" s="378" t="s">
        <v>67</v>
      </c>
      <c r="H50" s="378"/>
      <c r="I50" s="378"/>
      <c r="J50" s="378"/>
      <c r="K50" s="378"/>
      <c r="L50" s="378"/>
      <c r="M50" s="378"/>
      <c r="N50" s="378"/>
      <c r="O50" s="378"/>
      <c r="P50" s="378"/>
      <c r="Q50" s="378"/>
      <c r="R50" s="75"/>
      <c r="S50" s="75"/>
    </row>
    <row r="51" spans="1:35" s="47" customFormat="1" ht="30.6" x14ac:dyDescent="0.2">
      <c r="A51" s="378" t="s">
        <v>4</v>
      </c>
      <c r="B51" s="378" t="s">
        <v>600</v>
      </c>
      <c r="C51" s="378" t="s">
        <v>15</v>
      </c>
      <c r="D51" s="378" t="s">
        <v>27</v>
      </c>
      <c r="E51" s="378" t="s">
        <v>91</v>
      </c>
      <c r="F51" s="378" t="s">
        <v>116</v>
      </c>
      <c r="G51" s="378" t="s">
        <v>117</v>
      </c>
      <c r="H51" s="378" t="s">
        <v>85</v>
      </c>
      <c r="I51" s="378" t="s">
        <v>119</v>
      </c>
      <c r="J51" s="378" t="s">
        <v>276</v>
      </c>
      <c r="K51" s="378" t="s">
        <v>416</v>
      </c>
      <c r="L51" s="378" t="s">
        <v>417</v>
      </c>
      <c r="M51" s="378" t="s">
        <v>61</v>
      </c>
      <c r="N51" s="378" t="s">
        <v>62</v>
      </c>
      <c r="O51" s="378" t="s">
        <v>763</v>
      </c>
      <c r="P51" s="378" t="s">
        <v>65</v>
      </c>
      <c r="Q51" s="378" t="s">
        <v>66</v>
      </c>
      <c r="R51" s="75" t="s">
        <v>67</v>
      </c>
      <c r="S51" s="75" t="s">
        <v>68</v>
      </c>
      <c r="T51" s="47" t="s">
        <v>542</v>
      </c>
      <c r="U51" s="47" t="s">
        <v>543</v>
      </c>
      <c r="V51" s="47" t="s">
        <v>765</v>
      </c>
      <c r="W51" s="47" t="s">
        <v>766</v>
      </c>
      <c r="X51" s="47" t="s">
        <v>544</v>
      </c>
      <c r="Y51" s="47" t="s">
        <v>767</v>
      </c>
      <c r="Z51" s="47" t="s">
        <v>768</v>
      </c>
      <c r="AA51" s="47" t="s">
        <v>769</v>
      </c>
      <c r="AB51" s="47" t="s">
        <v>770</v>
      </c>
      <c r="AC51" s="47" t="s">
        <v>545</v>
      </c>
      <c r="AD51" s="47" t="s">
        <v>38</v>
      </c>
      <c r="AE51" s="47" t="s">
        <v>546</v>
      </c>
      <c r="AF51" s="47" t="s">
        <v>73</v>
      </c>
      <c r="AG51" s="47" t="s">
        <v>95</v>
      </c>
      <c r="AH51" s="47" t="s">
        <v>771</v>
      </c>
      <c r="AI51" s="47" t="s">
        <v>602</v>
      </c>
    </row>
    <row r="52" spans="1:35" s="47" customFormat="1" ht="30.6" x14ac:dyDescent="0.2">
      <c r="A52" s="378" t="s">
        <v>4</v>
      </c>
      <c r="B52" s="378" t="s">
        <v>599</v>
      </c>
      <c r="C52" s="378" t="s">
        <v>15</v>
      </c>
      <c r="D52" s="378" t="s">
        <v>27</v>
      </c>
      <c r="E52" s="378" t="s">
        <v>91</v>
      </c>
      <c r="F52" s="378" t="s">
        <v>116</v>
      </c>
      <c r="G52" s="378" t="s">
        <v>117</v>
      </c>
      <c r="H52" s="378" t="s">
        <v>85</v>
      </c>
      <c r="I52" s="378" t="s">
        <v>119</v>
      </c>
      <c r="J52" s="378" t="s">
        <v>276</v>
      </c>
      <c r="K52" s="378" t="s">
        <v>416</v>
      </c>
      <c r="L52" s="378" t="s">
        <v>417</v>
      </c>
      <c r="M52" s="378" t="s">
        <v>61</v>
      </c>
      <c r="N52" s="378" t="s">
        <v>62</v>
      </c>
      <c r="O52" s="378" t="s">
        <v>763</v>
      </c>
      <c r="P52" s="378" t="s">
        <v>65</v>
      </c>
      <c r="Q52" s="378" t="s">
        <v>66</v>
      </c>
      <c r="R52" s="75" t="s">
        <v>67</v>
      </c>
      <c r="S52" s="75" t="s">
        <v>68</v>
      </c>
      <c r="T52" s="47" t="s">
        <v>542</v>
      </c>
      <c r="U52" s="47" t="s">
        <v>543</v>
      </c>
      <c r="V52" s="47" t="s">
        <v>765</v>
      </c>
      <c r="W52" s="47" t="s">
        <v>766</v>
      </c>
      <c r="X52" s="47" t="s">
        <v>544</v>
      </c>
      <c r="Y52" s="47" t="s">
        <v>767</v>
      </c>
      <c r="Z52" s="47" t="s">
        <v>768</v>
      </c>
      <c r="AA52" s="47" t="s">
        <v>769</v>
      </c>
      <c r="AB52" s="47" t="s">
        <v>770</v>
      </c>
      <c r="AC52" s="47" t="s">
        <v>545</v>
      </c>
      <c r="AD52" s="47" t="s">
        <v>38</v>
      </c>
      <c r="AE52" s="47" t="s">
        <v>546</v>
      </c>
      <c r="AF52" s="47" t="s">
        <v>73</v>
      </c>
      <c r="AG52" s="47" t="s">
        <v>95</v>
      </c>
      <c r="AH52" s="47" t="s">
        <v>771</v>
      </c>
      <c r="AI52" s="47" t="s">
        <v>602</v>
      </c>
    </row>
    <row r="53" spans="1:35" s="47" customFormat="1" ht="20.399999999999999" x14ac:dyDescent="0.2">
      <c r="A53" s="378" t="s">
        <v>10</v>
      </c>
      <c r="B53" s="378" t="s">
        <v>600</v>
      </c>
      <c r="C53" s="378" t="s">
        <v>15</v>
      </c>
      <c r="D53" s="378" t="s">
        <v>149</v>
      </c>
      <c r="E53" s="378" t="s">
        <v>150</v>
      </c>
      <c r="F53" s="378" t="s">
        <v>151</v>
      </c>
      <c r="G53" s="378" t="s">
        <v>152</v>
      </c>
      <c r="H53" s="378" t="s">
        <v>116</v>
      </c>
      <c r="I53" s="378" t="s">
        <v>153</v>
      </c>
      <c r="J53" s="378" t="s">
        <v>154</v>
      </c>
      <c r="K53" s="378" t="s">
        <v>559</v>
      </c>
      <c r="L53" s="378" t="s">
        <v>560</v>
      </c>
      <c r="M53" s="378" t="s">
        <v>61</v>
      </c>
      <c r="N53" s="378" t="s">
        <v>62</v>
      </c>
      <c r="O53" s="378" t="s">
        <v>760</v>
      </c>
      <c r="P53" s="378" t="s">
        <v>65</v>
      </c>
      <c r="Q53" s="378" t="s">
        <v>66</v>
      </c>
      <c r="R53" s="75" t="s">
        <v>67</v>
      </c>
      <c r="S53" s="75" t="s">
        <v>68</v>
      </c>
      <c r="T53" s="47" t="s">
        <v>602</v>
      </c>
      <c r="U53" s="47" t="s">
        <v>36</v>
      </c>
    </row>
    <row r="54" spans="1:35" s="47" customFormat="1" ht="20.399999999999999" x14ac:dyDescent="0.2">
      <c r="A54" s="379" t="s">
        <v>10</v>
      </c>
      <c r="B54" s="378" t="s">
        <v>599</v>
      </c>
      <c r="C54" s="378" t="s">
        <v>15</v>
      </c>
      <c r="D54" s="378" t="s">
        <v>149</v>
      </c>
      <c r="E54" s="378" t="s">
        <v>150</v>
      </c>
      <c r="F54" s="378" t="s">
        <v>151</v>
      </c>
      <c r="G54" s="378" t="s">
        <v>152</v>
      </c>
      <c r="H54" s="378" t="s">
        <v>116</v>
      </c>
      <c r="I54" s="378" t="s">
        <v>153</v>
      </c>
      <c r="J54" s="378" t="s">
        <v>154</v>
      </c>
      <c r="K54" s="378" t="s">
        <v>559</v>
      </c>
      <c r="L54" s="378" t="s">
        <v>560</v>
      </c>
      <c r="M54" s="378" t="s">
        <v>61</v>
      </c>
      <c r="N54" s="378" t="s">
        <v>62</v>
      </c>
      <c r="O54" s="378" t="s">
        <v>760</v>
      </c>
      <c r="P54" s="378" t="s">
        <v>65</v>
      </c>
      <c r="Q54" s="380" t="s">
        <v>66</v>
      </c>
      <c r="R54" s="75" t="s">
        <v>67</v>
      </c>
      <c r="S54" s="75" t="s">
        <v>68</v>
      </c>
      <c r="T54" s="47" t="s">
        <v>602</v>
      </c>
      <c r="U54" s="47" t="s">
        <v>36</v>
      </c>
      <c r="V54" s="386" t="s">
        <v>32</v>
      </c>
      <c r="W54" s="386" t="s">
        <v>444</v>
      </c>
      <c r="X54" s="386" t="s">
        <v>558</v>
      </c>
      <c r="Y54" s="386" t="s">
        <v>38</v>
      </c>
      <c r="Z54" s="386" t="s">
        <v>543</v>
      </c>
      <c r="AA54" s="386" t="s">
        <v>546</v>
      </c>
      <c r="AB54" s="386" t="s">
        <v>545</v>
      </c>
      <c r="AC54" s="386" t="s">
        <v>417</v>
      </c>
      <c r="AD54" s="386" t="s">
        <v>416</v>
      </c>
    </row>
    <row r="55" spans="1:35" s="47" customFormat="1" ht="20.399999999999999" x14ac:dyDescent="0.2">
      <c r="A55" s="72" t="s">
        <v>0</v>
      </c>
      <c r="B55" s="45" t="s">
        <v>600</v>
      </c>
      <c r="C55" s="73" t="s">
        <v>15</v>
      </c>
      <c r="D55" s="73" t="s">
        <v>410</v>
      </c>
      <c r="E55" s="73" t="s">
        <v>76</v>
      </c>
      <c r="F55" s="73" t="s">
        <v>77</v>
      </c>
      <c r="G55" s="73" t="s">
        <v>78</v>
      </c>
      <c r="H55" s="73" t="s">
        <v>79</v>
      </c>
      <c r="I55" s="73" t="s">
        <v>81</v>
      </c>
      <c r="J55" s="73" t="s">
        <v>82</v>
      </c>
      <c r="K55" s="73" t="s">
        <v>83</v>
      </c>
      <c r="L55" s="73" t="s">
        <v>84</v>
      </c>
      <c r="M55" s="73" t="s">
        <v>85</v>
      </c>
      <c r="N55" s="73" t="s">
        <v>86</v>
      </c>
      <c r="O55" s="73" t="s">
        <v>915</v>
      </c>
      <c r="P55" s="73" t="s">
        <v>88</v>
      </c>
      <c r="Q55" s="71" t="s">
        <v>61</v>
      </c>
      <c r="R55" s="47" t="s">
        <v>62</v>
      </c>
      <c r="S55" s="47" t="s">
        <v>760</v>
      </c>
      <c r="T55" s="47" t="s">
        <v>65</v>
      </c>
      <c r="U55" s="47" t="s">
        <v>66</v>
      </c>
      <c r="V55" s="47" t="s">
        <v>67</v>
      </c>
      <c r="W55" s="47" t="s">
        <v>68</v>
      </c>
      <c r="X55" s="47" t="s">
        <v>602</v>
      </c>
    </row>
    <row r="56" spans="1:35" s="47" customFormat="1" ht="20.399999999999999" x14ac:dyDescent="0.2">
      <c r="A56" s="378" t="s">
        <v>0</v>
      </c>
      <c r="B56" s="378" t="s">
        <v>599</v>
      </c>
      <c r="C56" s="378" t="s">
        <v>15</v>
      </c>
      <c r="D56" s="378" t="s">
        <v>410</v>
      </c>
      <c r="E56" s="378" t="s">
        <v>76</v>
      </c>
      <c r="F56" s="378" t="s">
        <v>77</v>
      </c>
      <c r="G56" s="378" t="s">
        <v>78</v>
      </c>
      <c r="H56" s="378" t="s">
        <v>79</v>
      </c>
      <c r="I56" s="378" t="s">
        <v>81</v>
      </c>
      <c r="J56" s="378" t="s">
        <v>82</v>
      </c>
      <c r="K56" s="378" t="s">
        <v>83</v>
      </c>
      <c r="L56" s="378" t="s">
        <v>84</v>
      </c>
      <c r="M56" s="378" t="s">
        <v>85</v>
      </c>
      <c r="N56" s="378" t="s">
        <v>86</v>
      </c>
      <c r="O56" s="378" t="s">
        <v>915</v>
      </c>
      <c r="P56" s="378" t="s">
        <v>88</v>
      </c>
      <c r="Q56" s="378" t="s">
        <v>61</v>
      </c>
      <c r="R56" s="75" t="s">
        <v>62</v>
      </c>
      <c r="S56" s="75" t="s">
        <v>760</v>
      </c>
      <c r="T56" s="47" t="s">
        <v>65</v>
      </c>
      <c r="U56" s="47" t="s">
        <v>66</v>
      </c>
      <c r="V56" s="47" t="s">
        <v>67</v>
      </c>
      <c r="W56" s="47" t="s">
        <v>68</v>
      </c>
      <c r="X56" s="47" t="s">
        <v>602</v>
      </c>
    </row>
    <row r="57" spans="1:35" s="47" customFormat="1" ht="20.399999999999999" x14ac:dyDescent="0.2">
      <c r="A57" s="378" t="s">
        <v>2</v>
      </c>
      <c r="B57" s="378" t="s">
        <v>600</v>
      </c>
      <c r="C57" s="378" t="s">
        <v>15</v>
      </c>
      <c r="D57" s="378" t="s">
        <v>26</v>
      </c>
      <c r="E57" s="378" t="s">
        <v>69</v>
      </c>
      <c r="F57" s="378" t="s">
        <v>23</v>
      </c>
      <c r="G57" s="378" t="s">
        <v>70</v>
      </c>
      <c r="H57" s="378" t="s">
        <v>71</v>
      </c>
      <c r="I57" s="378" t="s">
        <v>72</v>
      </c>
      <c r="J57" s="378" t="s">
        <v>73</v>
      </c>
      <c r="K57" s="378" t="s">
        <v>75</v>
      </c>
      <c r="L57" s="378" t="s">
        <v>85</v>
      </c>
      <c r="M57" s="378" t="s">
        <v>61</v>
      </c>
      <c r="N57" s="378" t="s">
        <v>62</v>
      </c>
      <c r="O57" s="378" t="s">
        <v>760</v>
      </c>
      <c r="P57" s="378" t="s">
        <v>65</v>
      </c>
      <c r="Q57" s="378" t="s">
        <v>66</v>
      </c>
      <c r="R57" s="75" t="s">
        <v>67</v>
      </c>
      <c r="S57" s="75" t="s">
        <v>68</v>
      </c>
      <c r="T57" s="47" t="s">
        <v>761</v>
      </c>
      <c r="U57" s="47" t="s">
        <v>602</v>
      </c>
      <c r="V57" s="47" t="s">
        <v>821</v>
      </c>
      <c r="W57" s="47" t="s">
        <v>914</v>
      </c>
    </row>
    <row r="58" spans="1:35" s="47" customFormat="1" ht="20.399999999999999" x14ac:dyDescent="0.2">
      <c r="A58" s="72" t="s">
        <v>2</v>
      </c>
      <c r="B58" s="45" t="s">
        <v>599</v>
      </c>
      <c r="C58" s="73" t="s">
        <v>15</v>
      </c>
      <c r="D58" s="73" t="s">
        <v>26</v>
      </c>
      <c r="E58" s="73" t="s">
        <v>69</v>
      </c>
      <c r="F58" s="73" t="s">
        <v>23</v>
      </c>
      <c r="G58" s="73" t="s">
        <v>70</v>
      </c>
      <c r="H58" s="73" t="s">
        <v>71</v>
      </c>
      <c r="I58" s="73" t="s">
        <v>72</v>
      </c>
      <c r="J58" s="73" t="s">
        <v>73</v>
      </c>
      <c r="K58" s="73" t="s">
        <v>75</v>
      </c>
      <c r="L58" s="73" t="s">
        <v>85</v>
      </c>
      <c r="M58" s="73" t="s">
        <v>61</v>
      </c>
      <c r="N58" s="73" t="s">
        <v>62</v>
      </c>
      <c r="O58" s="73" t="s">
        <v>760</v>
      </c>
      <c r="P58" s="73" t="s">
        <v>65</v>
      </c>
      <c r="Q58" s="71" t="s">
        <v>66</v>
      </c>
      <c r="R58" s="47" t="s">
        <v>67</v>
      </c>
      <c r="S58" s="47" t="s">
        <v>68</v>
      </c>
      <c r="T58" s="47" t="s">
        <v>761</v>
      </c>
      <c r="U58" s="47" t="s">
        <v>602</v>
      </c>
      <c r="V58" s="47" t="s">
        <v>821</v>
      </c>
      <c r="W58" s="47" t="s">
        <v>914</v>
      </c>
    </row>
    <row r="59" spans="1:35" s="47" customFormat="1" ht="20.399999999999999" x14ac:dyDescent="0.2">
      <c r="A59" s="378" t="s">
        <v>750</v>
      </c>
      <c r="B59" s="378" t="s">
        <v>600</v>
      </c>
      <c r="C59" s="378" t="s">
        <v>15</v>
      </c>
      <c r="D59" s="378" t="s">
        <v>797</v>
      </c>
      <c r="E59" s="378" t="s">
        <v>798</v>
      </c>
      <c r="F59" s="378" t="s">
        <v>61</v>
      </c>
      <c r="G59" s="378" t="s">
        <v>62</v>
      </c>
      <c r="H59" s="378" t="s">
        <v>68</v>
      </c>
      <c r="I59" s="378" t="s">
        <v>760</v>
      </c>
      <c r="J59" s="378" t="s">
        <v>65</v>
      </c>
      <c r="K59" s="378" t="s">
        <v>66</v>
      </c>
      <c r="L59" s="378" t="s">
        <v>67</v>
      </c>
      <c r="M59" s="378" t="s">
        <v>602</v>
      </c>
      <c r="N59" s="378"/>
      <c r="O59" s="378"/>
      <c r="P59" s="378"/>
      <c r="Q59" s="378"/>
      <c r="R59" s="75"/>
      <c r="S59" s="75"/>
    </row>
    <row r="60" spans="1:35" s="47" customFormat="1" ht="20.399999999999999" x14ac:dyDescent="0.2">
      <c r="A60" s="378" t="s">
        <v>750</v>
      </c>
      <c r="B60" s="378" t="s">
        <v>599</v>
      </c>
      <c r="C60" s="378" t="s">
        <v>15</v>
      </c>
      <c r="D60" s="378" t="s">
        <v>797</v>
      </c>
      <c r="E60" s="378" t="s">
        <v>798</v>
      </c>
      <c r="F60" s="378" t="s">
        <v>61</v>
      </c>
      <c r="G60" s="378" t="s">
        <v>62</v>
      </c>
      <c r="H60" s="378" t="s">
        <v>68</v>
      </c>
      <c r="I60" s="378" t="s">
        <v>760</v>
      </c>
      <c r="J60" s="378" t="s">
        <v>65</v>
      </c>
      <c r="K60" s="378" t="s">
        <v>66</v>
      </c>
      <c r="L60" s="378" t="s">
        <v>67</v>
      </c>
      <c r="M60" s="378" t="s">
        <v>602</v>
      </c>
      <c r="N60" s="378"/>
      <c r="O60" s="378"/>
      <c r="P60" s="378"/>
      <c r="Q60" s="378"/>
      <c r="R60" s="75"/>
      <c r="S60" s="75"/>
    </row>
    <row r="61" spans="1:35" s="47" customFormat="1" ht="10.199999999999999" x14ac:dyDescent="0.2">
      <c r="A61" s="378" t="s">
        <v>747</v>
      </c>
      <c r="B61" s="378" t="s">
        <v>600</v>
      </c>
      <c r="C61" s="378" t="s">
        <v>15</v>
      </c>
      <c r="D61" s="378" t="s">
        <v>26</v>
      </c>
      <c r="E61" s="378" t="s">
        <v>291</v>
      </c>
      <c r="F61" s="378" t="s">
        <v>153</v>
      </c>
      <c r="G61" s="378" t="s">
        <v>789</v>
      </c>
      <c r="H61" s="378" t="s">
        <v>149</v>
      </c>
      <c r="I61" s="378"/>
      <c r="J61" s="378"/>
      <c r="K61" s="378"/>
      <c r="L61" s="378"/>
      <c r="M61" s="378"/>
      <c r="N61" s="378"/>
      <c r="O61" s="378"/>
      <c r="P61" s="378"/>
      <c r="Q61" s="378"/>
      <c r="R61" s="75"/>
      <c r="S61" s="75"/>
    </row>
    <row r="62" spans="1:35" s="47" customFormat="1" ht="10.199999999999999" x14ac:dyDescent="0.2">
      <c r="A62" s="378" t="s">
        <v>747</v>
      </c>
      <c r="B62" s="378" t="s">
        <v>599</v>
      </c>
      <c r="C62" s="378" t="s">
        <v>15</v>
      </c>
      <c r="D62" s="378" t="s">
        <v>26</v>
      </c>
      <c r="E62" s="378" t="s">
        <v>291</v>
      </c>
      <c r="F62" s="378" t="s">
        <v>153</v>
      </c>
      <c r="G62" s="378" t="s">
        <v>789</v>
      </c>
      <c r="H62" s="378" t="s">
        <v>149</v>
      </c>
      <c r="I62" s="378"/>
      <c r="J62" s="378"/>
      <c r="K62" s="378"/>
      <c r="L62" s="378"/>
      <c r="M62" s="378"/>
      <c r="N62" s="378"/>
      <c r="O62" s="378"/>
      <c r="P62" s="378"/>
      <c r="Q62" s="378"/>
      <c r="R62" s="75"/>
      <c r="S62" s="75"/>
    </row>
    <row r="63" spans="1:35" s="47" customFormat="1" ht="20.399999999999999" x14ac:dyDescent="0.2">
      <c r="A63" s="378" t="s">
        <v>870</v>
      </c>
      <c r="B63" s="378" t="s">
        <v>600</v>
      </c>
      <c r="C63" s="378" t="s">
        <v>15</v>
      </c>
      <c r="D63" s="378" t="s">
        <v>27</v>
      </c>
      <c r="E63" s="378" t="s">
        <v>61</v>
      </c>
      <c r="F63" s="378" t="s">
        <v>62</v>
      </c>
      <c r="G63" s="378" t="s">
        <v>760</v>
      </c>
      <c r="H63" s="378" t="s">
        <v>65</v>
      </c>
      <c r="I63" s="378" t="s">
        <v>66</v>
      </c>
      <c r="J63" s="378" t="s">
        <v>67</v>
      </c>
      <c r="K63" s="378" t="s">
        <v>68</v>
      </c>
      <c r="L63" s="378" t="s">
        <v>602</v>
      </c>
      <c r="M63" s="378"/>
      <c r="N63" s="378"/>
      <c r="O63" s="378"/>
      <c r="P63" s="378"/>
      <c r="Q63" s="378"/>
      <c r="R63" s="75"/>
      <c r="S63" s="75"/>
    </row>
    <row r="64" spans="1:35" s="47" customFormat="1" ht="20.399999999999999" x14ac:dyDescent="0.2">
      <c r="A64" s="378" t="s">
        <v>870</v>
      </c>
      <c r="B64" s="378" t="s">
        <v>599</v>
      </c>
      <c r="C64" s="378" t="s">
        <v>15</v>
      </c>
      <c r="D64" s="378" t="s">
        <v>27</v>
      </c>
      <c r="E64" s="378" t="s">
        <v>61</v>
      </c>
      <c r="F64" s="378" t="s">
        <v>62</v>
      </c>
      <c r="G64" s="378" t="s">
        <v>760</v>
      </c>
      <c r="H64" s="378" t="s">
        <v>65</v>
      </c>
      <c r="I64" s="378" t="s">
        <v>66</v>
      </c>
      <c r="J64" s="378" t="s">
        <v>67</v>
      </c>
      <c r="K64" s="378" t="s">
        <v>68</v>
      </c>
      <c r="L64" s="378" t="s">
        <v>602</v>
      </c>
      <c r="M64" s="378"/>
      <c r="N64" s="378"/>
      <c r="O64" s="378"/>
      <c r="P64" s="378"/>
      <c r="Q64" s="378"/>
      <c r="R64" s="75"/>
      <c r="S64" s="75"/>
    </row>
    <row r="65" spans="1:50" s="47" customFormat="1" ht="20.399999999999999" x14ac:dyDescent="0.2">
      <c r="A65" s="378" t="s">
        <v>753</v>
      </c>
      <c r="B65" s="378" t="s">
        <v>600</v>
      </c>
      <c r="C65" s="378" t="s">
        <v>15</v>
      </c>
      <c r="D65" s="378" t="s">
        <v>69</v>
      </c>
      <c r="E65" s="378" t="s">
        <v>801</v>
      </c>
      <c r="F65" s="378" t="s">
        <v>802</v>
      </c>
      <c r="G65" s="378" t="s">
        <v>820</v>
      </c>
      <c r="H65" s="378" t="s">
        <v>803</v>
      </c>
      <c r="I65" s="378" t="s">
        <v>61</v>
      </c>
      <c r="J65" s="378" t="s">
        <v>62</v>
      </c>
      <c r="K65" s="378" t="s">
        <v>760</v>
      </c>
      <c r="L65" s="378" t="s">
        <v>65</v>
      </c>
      <c r="M65" s="378" t="s">
        <v>66</v>
      </c>
      <c r="N65" s="378" t="s">
        <v>67</v>
      </c>
      <c r="O65" s="378" t="s">
        <v>68</v>
      </c>
      <c r="P65" s="378" t="s">
        <v>602</v>
      </c>
      <c r="Q65" s="385" t="s">
        <v>948</v>
      </c>
      <c r="R65" s="75"/>
      <c r="S65" s="75"/>
    </row>
    <row r="66" spans="1:50" s="47" customFormat="1" ht="20.399999999999999" x14ac:dyDescent="0.2">
      <c r="A66" s="378" t="s">
        <v>753</v>
      </c>
      <c r="B66" s="378" t="s">
        <v>599</v>
      </c>
      <c r="C66" s="378" t="s">
        <v>15</v>
      </c>
      <c r="D66" s="378" t="s">
        <v>69</v>
      </c>
      <c r="E66" s="378" t="s">
        <v>801</v>
      </c>
      <c r="F66" s="378" t="s">
        <v>802</v>
      </c>
      <c r="G66" s="378" t="s">
        <v>820</v>
      </c>
      <c r="H66" s="378" t="s">
        <v>803</v>
      </c>
      <c r="I66" s="378" t="s">
        <v>61</v>
      </c>
      <c r="J66" s="378" t="s">
        <v>62</v>
      </c>
      <c r="K66" s="378" t="s">
        <v>760</v>
      </c>
      <c r="L66" s="378" t="s">
        <v>65</v>
      </c>
      <c r="M66" s="378" t="s">
        <v>66</v>
      </c>
      <c r="N66" s="378" t="s">
        <v>67</v>
      </c>
      <c r="O66" s="378" t="s">
        <v>68</v>
      </c>
      <c r="P66" s="378" t="s">
        <v>602</v>
      </c>
      <c r="Q66" s="378"/>
      <c r="R66" s="75"/>
      <c r="S66" s="75"/>
    </row>
    <row r="67" spans="1:50" s="47" customFormat="1" ht="30.6" x14ac:dyDescent="0.2">
      <c r="A67" s="72" t="s">
        <v>431</v>
      </c>
      <c r="B67" s="45" t="s">
        <v>600</v>
      </c>
      <c r="C67" s="73" t="s">
        <v>15</v>
      </c>
      <c r="D67" s="73" t="s">
        <v>523</v>
      </c>
      <c r="E67" s="73" t="s">
        <v>61</v>
      </c>
      <c r="F67" s="73" t="s">
        <v>524</v>
      </c>
      <c r="G67" s="73" t="s">
        <v>913</v>
      </c>
      <c r="H67" s="73" t="s">
        <v>442</v>
      </c>
      <c r="I67" s="73" t="s">
        <v>62</v>
      </c>
      <c r="J67" s="73" t="s">
        <v>525</v>
      </c>
      <c r="K67" s="73" t="s">
        <v>526</v>
      </c>
      <c r="L67" s="73" t="s">
        <v>527</v>
      </c>
      <c r="M67" s="73" t="s">
        <v>422</v>
      </c>
      <c r="N67" s="73" t="s">
        <v>95</v>
      </c>
      <c r="O67" s="73" t="s">
        <v>528</v>
      </c>
      <c r="P67" s="73" t="s">
        <v>756</v>
      </c>
      <c r="Q67" s="71" t="s">
        <v>69</v>
      </c>
      <c r="R67" s="47" t="s">
        <v>161</v>
      </c>
      <c r="S67" s="47" t="s">
        <v>757</v>
      </c>
      <c r="T67" s="47" t="s">
        <v>758</v>
      </c>
      <c r="U67" s="47" t="s">
        <v>759</v>
      </c>
      <c r="V67" s="47" t="s">
        <v>602</v>
      </c>
    </row>
    <row r="68" spans="1:50" s="47" customFormat="1" ht="30.6" x14ac:dyDescent="0.2">
      <c r="A68" s="378" t="s">
        <v>431</v>
      </c>
      <c r="B68" s="378" t="s">
        <v>599</v>
      </c>
      <c r="C68" s="378" t="s">
        <v>15</v>
      </c>
      <c r="D68" s="378" t="s">
        <v>523</v>
      </c>
      <c r="E68" s="378" t="s">
        <v>61</v>
      </c>
      <c r="F68" s="378" t="s">
        <v>524</v>
      </c>
      <c r="G68" s="378" t="s">
        <v>913</v>
      </c>
      <c r="H68" s="378" t="s">
        <v>442</v>
      </c>
      <c r="I68" s="378" t="s">
        <v>62</v>
      </c>
      <c r="J68" s="378" t="s">
        <v>525</v>
      </c>
      <c r="K68" s="378" t="s">
        <v>526</v>
      </c>
      <c r="L68" s="378" t="s">
        <v>527</v>
      </c>
      <c r="M68" s="378" t="s">
        <v>422</v>
      </c>
      <c r="N68" s="378" t="s">
        <v>95</v>
      </c>
      <c r="O68" s="378" t="s">
        <v>528</v>
      </c>
      <c r="P68" s="378" t="s">
        <v>756</v>
      </c>
      <c r="Q68" s="378" t="s">
        <v>69</v>
      </c>
      <c r="R68" s="75" t="s">
        <v>161</v>
      </c>
      <c r="S68" s="75" t="s">
        <v>757</v>
      </c>
      <c r="T68" s="47" t="s">
        <v>758</v>
      </c>
      <c r="U68" s="47" t="s">
        <v>759</v>
      </c>
      <c r="V68" s="47" t="s">
        <v>602</v>
      </c>
    </row>
    <row r="69" spans="1:50" s="47" customFormat="1" ht="20.399999999999999" x14ac:dyDescent="0.2">
      <c r="A69" s="378" t="s">
        <v>752</v>
      </c>
      <c r="B69" s="378" t="s">
        <v>600</v>
      </c>
      <c r="C69" s="378" t="s">
        <v>15</v>
      </c>
      <c r="D69" s="378" t="s">
        <v>114</v>
      </c>
      <c r="E69" s="378" t="s">
        <v>800</v>
      </c>
      <c r="F69" s="378" t="s">
        <v>61</v>
      </c>
      <c r="G69" s="378" t="s">
        <v>62</v>
      </c>
      <c r="H69" s="378" t="s">
        <v>68</v>
      </c>
      <c r="I69" s="378" t="s">
        <v>760</v>
      </c>
      <c r="J69" s="378" t="s">
        <v>65</v>
      </c>
      <c r="K69" s="378" t="s">
        <v>66</v>
      </c>
      <c r="L69" s="378" t="s">
        <v>67</v>
      </c>
      <c r="M69" s="378" t="s">
        <v>22</v>
      </c>
      <c r="N69" s="378" t="s">
        <v>602</v>
      </c>
      <c r="O69" s="378"/>
      <c r="P69" s="378"/>
      <c r="Q69" s="378"/>
      <c r="R69" s="75"/>
      <c r="S69" s="75"/>
    </row>
    <row r="70" spans="1:50" s="47" customFormat="1" ht="20.399999999999999" x14ac:dyDescent="0.2">
      <c r="A70" s="378" t="s">
        <v>752</v>
      </c>
      <c r="B70" s="378" t="s">
        <v>599</v>
      </c>
      <c r="C70" s="378" t="s">
        <v>15</v>
      </c>
      <c r="D70" s="378" t="s">
        <v>114</v>
      </c>
      <c r="E70" s="378" t="s">
        <v>800</v>
      </c>
      <c r="F70" s="378" t="s">
        <v>61</v>
      </c>
      <c r="G70" s="378" t="s">
        <v>62</v>
      </c>
      <c r="H70" s="378" t="s">
        <v>68</v>
      </c>
      <c r="I70" s="378" t="s">
        <v>760</v>
      </c>
      <c r="J70" s="378" t="s">
        <v>65</v>
      </c>
      <c r="K70" s="378" t="s">
        <v>66</v>
      </c>
      <c r="L70" s="378" t="s">
        <v>67</v>
      </c>
      <c r="M70" s="378" t="s">
        <v>22</v>
      </c>
      <c r="N70" s="378" t="s">
        <v>602</v>
      </c>
      <c r="O70" s="378"/>
      <c r="P70" s="378"/>
      <c r="Q70" s="378"/>
      <c r="R70" s="75"/>
      <c r="S70" s="75"/>
    </row>
    <row r="71" spans="1:50" s="47" customFormat="1" ht="30.6" x14ac:dyDescent="0.2">
      <c r="A71" s="379" t="s">
        <v>45</v>
      </c>
      <c r="B71" s="383" t="s">
        <v>600</v>
      </c>
      <c r="C71" s="378" t="s">
        <v>15</v>
      </c>
      <c r="D71" s="378" t="s">
        <v>89</v>
      </c>
      <c r="E71" s="378" t="s">
        <v>762</v>
      </c>
      <c r="F71" s="378" t="s">
        <v>61</v>
      </c>
      <c r="G71" s="378" t="s">
        <v>62</v>
      </c>
      <c r="H71" s="378" t="s">
        <v>760</v>
      </c>
      <c r="I71" s="378" t="s">
        <v>65</v>
      </c>
      <c r="J71" s="378" t="s">
        <v>66</v>
      </c>
      <c r="K71" s="378" t="s">
        <v>67</v>
      </c>
      <c r="L71" s="378" t="s">
        <v>68</v>
      </c>
      <c r="M71" s="378" t="s">
        <v>602</v>
      </c>
      <c r="N71" s="378"/>
      <c r="O71" s="378"/>
      <c r="P71" s="378"/>
      <c r="Q71" s="380"/>
      <c r="R71" s="75"/>
      <c r="S71" s="75"/>
    </row>
    <row r="72" spans="1:50" s="47" customFormat="1" ht="30.6" x14ac:dyDescent="0.2">
      <c r="A72" s="378" t="s">
        <v>45</v>
      </c>
      <c r="B72" s="378" t="s">
        <v>599</v>
      </c>
      <c r="C72" s="378" t="s">
        <v>15</v>
      </c>
      <c r="D72" s="378" t="s">
        <v>89</v>
      </c>
      <c r="E72" s="378" t="s">
        <v>762</v>
      </c>
      <c r="F72" s="378" t="s">
        <v>61</v>
      </c>
      <c r="G72" s="378" t="s">
        <v>62</v>
      </c>
      <c r="H72" s="378" t="s">
        <v>760</v>
      </c>
      <c r="I72" s="378" t="s">
        <v>65</v>
      </c>
      <c r="J72" s="378" t="s">
        <v>66</v>
      </c>
      <c r="K72" s="378" t="s">
        <v>67</v>
      </c>
      <c r="L72" s="378" t="s">
        <v>68</v>
      </c>
      <c r="M72" s="378" t="s">
        <v>602</v>
      </c>
      <c r="N72" s="378"/>
      <c r="O72" s="378"/>
      <c r="P72" s="378"/>
      <c r="Q72" s="378"/>
      <c r="R72" s="75"/>
      <c r="S72" s="75"/>
    </row>
    <row r="73" spans="1:50" s="47" customFormat="1" ht="20.399999999999999" x14ac:dyDescent="0.2">
      <c r="A73" s="384" t="s">
        <v>537</v>
      </c>
      <c r="B73" s="378" t="s">
        <v>599</v>
      </c>
      <c r="C73" s="378" t="s">
        <v>15</v>
      </c>
      <c r="D73" s="378" t="s">
        <v>61</v>
      </c>
      <c r="E73" s="378" t="s">
        <v>62</v>
      </c>
      <c r="F73" s="378" t="s">
        <v>68</v>
      </c>
      <c r="G73" s="378" t="s">
        <v>760</v>
      </c>
      <c r="H73" s="378" t="s">
        <v>65</v>
      </c>
      <c r="I73" s="378" t="s">
        <v>66</v>
      </c>
      <c r="J73" s="378" t="s">
        <v>67</v>
      </c>
      <c r="K73" s="378" t="s">
        <v>602</v>
      </c>
      <c r="L73" s="378" t="s">
        <v>35</v>
      </c>
      <c r="M73" s="378" t="s">
        <v>538</v>
      </c>
      <c r="N73" s="378" t="s">
        <v>539</v>
      </c>
      <c r="O73" s="378"/>
      <c r="P73" s="378"/>
      <c r="Q73" s="378"/>
      <c r="R73" s="75"/>
      <c r="S73" s="75"/>
    </row>
    <row r="74" spans="1:50" s="47" customFormat="1" ht="20.399999999999999" x14ac:dyDescent="0.3">
      <c r="A74" s="384" t="s">
        <v>535</v>
      </c>
      <c r="B74" s="378" t="s">
        <v>599</v>
      </c>
      <c r="C74" s="378" t="s">
        <v>15</v>
      </c>
      <c r="D74" s="378" t="s">
        <v>69</v>
      </c>
      <c r="E74" s="378" t="s">
        <v>536</v>
      </c>
      <c r="F74" s="378" t="s">
        <v>95</v>
      </c>
      <c r="G74" s="378" t="s">
        <v>61</v>
      </c>
      <c r="H74" s="378" t="s">
        <v>62</v>
      </c>
      <c r="I74" s="381" t="s">
        <v>68</v>
      </c>
      <c r="J74" s="381" t="s">
        <v>760</v>
      </c>
      <c r="K74" s="381" t="s">
        <v>65</v>
      </c>
      <c r="L74" s="381" t="s">
        <v>66</v>
      </c>
      <c r="M74" s="381" t="s">
        <v>67</v>
      </c>
      <c r="N74" s="381" t="s">
        <v>602</v>
      </c>
      <c r="O74" s="381"/>
      <c r="P74" s="381"/>
      <c r="Q74" s="381"/>
      <c r="R74" s="75"/>
      <c r="S74" s="75"/>
    </row>
    <row r="75" spans="1:50" s="47" customFormat="1" ht="20.399999999999999" x14ac:dyDescent="0.2">
      <c r="A75" s="378" t="s">
        <v>49</v>
      </c>
      <c r="B75" s="378" t="s">
        <v>600</v>
      </c>
      <c r="C75" s="378" t="s">
        <v>15</v>
      </c>
      <c r="D75" s="378" t="s">
        <v>149</v>
      </c>
      <c r="E75" s="378" t="s">
        <v>155</v>
      </c>
      <c r="F75" s="378" t="s">
        <v>100</v>
      </c>
      <c r="G75" s="378" t="s">
        <v>101</v>
      </c>
      <c r="H75" s="378" t="s">
        <v>156</v>
      </c>
      <c r="I75" s="378" t="s">
        <v>157</v>
      </c>
      <c r="J75" s="378" t="s">
        <v>158</v>
      </c>
      <c r="K75" s="378" t="s">
        <v>159</v>
      </c>
      <c r="L75" s="378" t="s">
        <v>92</v>
      </c>
      <c r="M75" s="378" t="s">
        <v>93</v>
      </c>
      <c r="N75" s="378" t="s">
        <v>141</v>
      </c>
      <c r="O75" s="378" t="s">
        <v>95</v>
      </c>
      <c r="P75" s="378" t="s">
        <v>118</v>
      </c>
      <c r="Q75" s="378" t="s">
        <v>548</v>
      </c>
      <c r="R75" s="75" t="s">
        <v>61</v>
      </c>
      <c r="S75" s="75" t="s">
        <v>62</v>
      </c>
      <c r="T75" s="47" t="s">
        <v>760</v>
      </c>
      <c r="U75" s="47" t="s">
        <v>65</v>
      </c>
      <c r="V75" s="47" t="s">
        <v>66</v>
      </c>
      <c r="W75" s="47" t="s">
        <v>67</v>
      </c>
      <c r="X75" s="47" t="s">
        <v>68</v>
      </c>
      <c r="Y75" s="47" t="s">
        <v>602</v>
      </c>
    </row>
    <row r="76" spans="1:50" s="47" customFormat="1" ht="20.399999999999999" x14ac:dyDescent="0.2">
      <c r="A76" s="378" t="s">
        <v>49</v>
      </c>
      <c r="B76" s="378" t="s">
        <v>599</v>
      </c>
      <c r="C76" s="378" t="s">
        <v>15</v>
      </c>
      <c r="D76" s="378" t="s">
        <v>149</v>
      </c>
      <c r="E76" s="378" t="s">
        <v>155</v>
      </c>
      <c r="F76" s="378" t="s">
        <v>100</v>
      </c>
      <c r="G76" s="378" t="s">
        <v>101</v>
      </c>
      <c r="H76" s="378" t="s">
        <v>156</v>
      </c>
      <c r="I76" s="378" t="s">
        <v>157</v>
      </c>
      <c r="J76" s="378" t="s">
        <v>158</v>
      </c>
      <c r="K76" s="378" t="s">
        <v>159</v>
      </c>
      <c r="L76" s="378" t="s">
        <v>92</v>
      </c>
      <c r="M76" s="378" t="s">
        <v>93</v>
      </c>
      <c r="N76" s="378" t="s">
        <v>141</v>
      </c>
      <c r="O76" s="378" t="s">
        <v>95</v>
      </c>
      <c r="P76" s="378" t="s">
        <v>118</v>
      </c>
      <c r="Q76" s="378" t="s">
        <v>548</v>
      </c>
      <c r="R76" s="75" t="s">
        <v>61</v>
      </c>
      <c r="S76" s="75" t="s">
        <v>62</v>
      </c>
      <c r="T76" s="47" t="s">
        <v>760</v>
      </c>
      <c r="U76" s="47" t="s">
        <v>65</v>
      </c>
      <c r="V76" s="47" t="s">
        <v>66</v>
      </c>
      <c r="W76" s="47" t="s">
        <v>67</v>
      </c>
      <c r="X76" s="47" t="s">
        <v>68</v>
      </c>
      <c r="Y76" s="47" t="s">
        <v>602</v>
      </c>
    </row>
    <row r="77" spans="1:50" s="47" customFormat="1" ht="20.399999999999999" x14ac:dyDescent="0.2">
      <c r="A77" s="388" t="s">
        <v>922</v>
      </c>
      <c r="B77" s="45" t="s">
        <v>599</v>
      </c>
      <c r="C77" s="73" t="s">
        <v>15</v>
      </c>
      <c r="D77" s="73" t="s">
        <v>271</v>
      </c>
      <c r="E77" s="73" t="s">
        <v>95</v>
      </c>
      <c r="F77" s="73" t="s">
        <v>790</v>
      </c>
      <c r="G77" s="73" t="s">
        <v>61</v>
      </c>
      <c r="H77" s="73" t="s">
        <v>62</v>
      </c>
      <c r="I77" s="73" t="s">
        <v>68</v>
      </c>
      <c r="J77" s="73" t="s">
        <v>760</v>
      </c>
      <c r="K77" s="73" t="s">
        <v>65</v>
      </c>
      <c r="L77" s="73" t="s">
        <v>66</v>
      </c>
      <c r="M77" s="73" t="s">
        <v>67</v>
      </c>
      <c r="N77" s="73" t="s">
        <v>602</v>
      </c>
      <c r="O77" s="73"/>
      <c r="P77" s="73"/>
      <c r="Q77" s="71"/>
    </row>
    <row r="78" spans="1:50" s="47" customFormat="1" ht="20.399999999999999" x14ac:dyDescent="0.2">
      <c r="A78" s="378" t="s">
        <v>748</v>
      </c>
      <c r="B78" s="378" t="s">
        <v>600</v>
      </c>
      <c r="C78" s="378" t="s">
        <v>15</v>
      </c>
      <c r="D78" s="378" t="s">
        <v>149</v>
      </c>
      <c r="E78" s="378" t="s">
        <v>791</v>
      </c>
      <c r="F78" s="378" t="s">
        <v>792</v>
      </c>
      <c r="G78" s="378" t="s">
        <v>793</v>
      </c>
      <c r="H78" s="378" t="s">
        <v>794</v>
      </c>
      <c r="I78" s="378" t="s">
        <v>153</v>
      </c>
      <c r="J78" s="378" t="s">
        <v>117</v>
      </c>
      <c r="K78" s="378" t="s">
        <v>280</v>
      </c>
      <c r="L78" s="378" t="s">
        <v>543</v>
      </c>
      <c r="M78" s="378" t="s">
        <v>127</v>
      </c>
      <c r="N78" s="378"/>
      <c r="O78" s="378"/>
      <c r="P78" s="378"/>
      <c r="Q78" s="378"/>
      <c r="R78" s="75"/>
      <c r="S78" s="75"/>
    </row>
    <row r="79" spans="1:50" s="47" customFormat="1" ht="20.399999999999999" x14ac:dyDescent="0.2">
      <c r="A79" s="378" t="s">
        <v>748</v>
      </c>
      <c r="B79" s="378" t="s">
        <v>599</v>
      </c>
      <c r="C79" s="378" t="s">
        <v>15</v>
      </c>
      <c r="D79" s="378" t="s">
        <v>149</v>
      </c>
      <c r="E79" s="378" t="s">
        <v>791</v>
      </c>
      <c r="F79" s="378" t="s">
        <v>792</v>
      </c>
      <c r="G79" s="378" t="s">
        <v>793</v>
      </c>
      <c r="H79" s="378" t="s">
        <v>794</v>
      </c>
      <c r="I79" s="378" t="s">
        <v>153</v>
      </c>
      <c r="J79" s="378" t="s">
        <v>117</v>
      </c>
      <c r="K79" s="378" t="s">
        <v>280</v>
      </c>
      <c r="L79" s="378" t="s">
        <v>543</v>
      </c>
      <c r="M79" s="378" t="s">
        <v>127</v>
      </c>
      <c r="N79" s="378"/>
      <c r="O79" s="378"/>
      <c r="P79" s="378"/>
      <c r="Q79" s="378"/>
      <c r="R79" s="75"/>
      <c r="S79" s="75"/>
    </row>
    <row r="80" spans="1:50" s="47" customFormat="1" ht="20.399999999999999" x14ac:dyDescent="0.2">
      <c r="A80" s="378" t="s">
        <v>5</v>
      </c>
      <c r="B80" s="378" t="s">
        <v>600</v>
      </c>
      <c r="C80" s="378" t="s">
        <v>15</v>
      </c>
      <c r="D80" s="378" t="s">
        <v>127</v>
      </c>
      <c r="E80" s="378" t="s">
        <v>128</v>
      </c>
      <c r="F80" s="378" t="s">
        <v>129</v>
      </c>
      <c r="G80" s="378" t="s">
        <v>540</v>
      </c>
      <c r="H80" s="378" t="s">
        <v>85</v>
      </c>
      <c r="I80" s="378" t="s">
        <v>61</v>
      </c>
      <c r="J80" s="378" t="s">
        <v>62</v>
      </c>
      <c r="K80" s="378" t="s">
        <v>763</v>
      </c>
      <c r="L80" s="378" t="s">
        <v>65</v>
      </c>
      <c r="M80" s="378" t="s">
        <v>66</v>
      </c>
      <c r="N80" s="378" t="s">
        <v>67</v>
      </c>
      <c r="O80" s="378" t="s">
        <v>68</v>
      </c>
      <c r="P80" s="378" t="s">
        <v>541</v>
      </c>
      <c r="Q80" s="378" t="s">
        <v>147</v>
      </c>
      <c r="R80" s="75" t="s">
        <v>148</v>
      </c>
      <c r="S80" s="75" t="s">
        <v>141</v>
      </c>
      <c r="T80" s="47" t="s">
        <v>144</v>
      </c>
      <c r="U80" s="47" t="s">
        <v>145</v>
      </c>
      <c r="V80" s="47" t="s">
        <v>146</v>
      </c>
      <c r="W80" s="47" t="s">
        <v>142</v>
      </c>
      <c r="X80" s="47" t="s">
        <v>140</v>
      </c>
      <c r="Y80" s="47" t="s">
        <v>143</v>
      </c>
      <c r="Z80" s="47" t="s">
        <v>132</v>
      </c>
      <c r="AA80" s="47" t="s">
        <v>131</v>
      </c>
      <c r="AB80" s="47" t="s">
        <v>134</v>
      </c>
      <c r="AC80" s="47" t="s">
        <v>139</v>
      </c>
      <c r="AD80" s="47" t="s">
        <v>764</v>
      </c>
      <c r="AE80" s="47" t="s">
        <v>133</v>
      </c>
      <c r="AF80" s="47" t="s">
        <v>138</v>
      </c>
      <c r="AG80" s="47" t="s">
        <v>42</v>
      </c>
      <c r="AH80" s="47" t="s">
        <v>135</v>
      </c>
      <c r="AI80" s="47" t="s">
        <v>136</v>
      </c>
      <c r="AJ80" s="47" t="s">
        <v>137</v>
      </c>
      <c r="AK80" s="47" t="s">
        <v>130</v>
      </c>
      <c r="AL80" s="47" t="s">
        <v>602</v>
      </c>
      <c r="AM80" s="47" t="s">
        <v>604</v>
      </c>
      <c r="AN80" s="47" t="s">
        <v>930</v>
      </c>
      <c r="AO80" s="47" t="s">
        <v>931</v>
      </c>
      <c r="AP80" s="47" t="s">
        <v>932</v>
      </c>
      <c r="AQ80" s="47" t="s">
        <v>933</v>
      </c>
      <c r="AR80" s="47" t="s">
        <v>934</v>
      </c>
      <c r="AS80" s="47" t="s">
        <v>935</v>
      </c>
      <c r="AT80" s="47" t="s">
        <v>936</v>
      </c>
      <c r="AU80" s="47" t="s">
        <v>937</v>
      </c>
      <c r="AV80" s="47" t="s">
        <v>938</v>
      </c>
      <c r="AW80" s="47" t="s">
        <v>939</v>
      </c>
      <c r="AX80" s="47" t="s">
        <v>940</v>
      </c>
    </row>
    <row r="81" spans="1:50" s="47" customFormat="1" ht="20.399999999999999" x14ac:dyDescent="0.2">
      <c r="A81" s="378" t="s">
        <v>5</v>
      </c>
      <c r="B81" s="378" t="s">
        <v>599</v>
      </c>
      <c r="C81" s="378" t="s">
        <v>15</v>
      </c>
      <c r="D81" s="378" t="s">
        <v>127</v>
      </c>
      <c r="E81" s="378" t="s">
        <v>128</v>
      </c>
      <c r="F81" s="378" t="s">
        <v>129</v>
      </c>
      <c r="G81" s="378" t="s">
        <v>540</v>
      </c>
      <c r="H81" s="378" t="s">
        <v>85</v>
      </c>
      <c r="I81" s="378" t="s">
        <v>61</v>
      </c>
      <c r="J81" s="378" t="s">
        <v>62</v>
      </c>
      <c r="K81" s="378" t="s">
        <v>763</v>
      </c>
      <c r="L81" s="378" t="s">
        <v>65</v>
      </c>
      <c r="M81" s="378" t="s">
        <v>66</v>
      </c>
      <c r="N81" s="378" t="s">
        <v>67</v>
      </c>
      <c r="O81" s="378" t="s">
        <v>68</v>
      </c>
      <c r="P81" s="378" t="s">
        <v>541</v>
      </c>
      <c r="Q81" s="378" t="s">
        <v>147</v>
      </c>
      <c r="R81" s="75" t="s">
        <v>148</v>
      </c>
      <c r="S81" s="75" t="s">
        <v>141</v>
      </c>
      <c r="T81" s="47" t="s">
        <v>144</v>
      </c>
      <c r="U81" s="47" t="s">
        <v>145</v>
      </c>
      <c r="V81" s="47" t="s">
        <v>146</v>
      </c>
      <c r="W81" s="47" t="s">
        <v>142</v>
      </c>
      <c r="X81" s="47" t="s">
        <v>140</v>
      </c>
      <c r="Y81" s="47" t="s">
        <v>143</v>
      </c>
      <c r="Z81" s="47" t="s">
        <v>132</v>
      </c>
      <c r="AA81" s="47" t="s">
        <v>131</v>
      </c>
      <c r="AB81" s="47" t="s">
        <v>134</v>
      </c>
      <c r="AC81" s="47" t="s">
        <v>139</v>
      </c>
      <c r="AD81" s="47" t="s">
        <v>764</v>
      </c>
      <c r="AE81" s="47" t="s">
        <v>133</v>
      </c>
      <c r="AF81" s="47" t="s">
        <v>138</v>
      </c>
      <c r="AG81" s="47" t="s">
        <v>42</v>
      </c>
      <c r="AH81" s="47" t="s">
        <v>135</v>
      </c>
      <c r="AI81" s="47" t="s">
        <v>136</v>
      </c>
      <c r="AJ81" s="47" t="s">
        <v>137</v>
      </c>
      <c r="AK81" s="47" t="s">
        <v>130</v>
      </c>
      <c r="AL81" s="47" t="s">
        <v>602</v>
      </c>
      <c r="AM81" s="47" t="s">
        <v>604</v>
      </c>
      <c r="AN81" s="47" t="s">
        <v>930</v>
      </c>
      <c r="AO81" s="47" t="s">
        <v>931</v>
      </c>
      <c r="AP81" s="47" t="s">
        <v>932</v>
      </c>
      <c r="AQ81" s="47" t="s">
        <v>933</v>
      </c>
      <c r="AR81" s="47" t="s">
        <v>934</v>
      </c>
      <c r="AS81" s="47" t="s">
        <v>935</v>
      </c>
      <c r="AT81" s="47" t="s">
        <v>936</v>
      </c>
      <c r="AU81" s="47" t="s">
        <v>937</v>
      </c>
      <c r="AV81" s="47" t="s">
        <v>938</v>
      </c>
      <c r="AW81" s="47" t="s">
        <v>939</v>
      </c>
      <c r="AX81" s="47" t="s">
        <v>940</v>
      </c>
    </row>
    <row r="82" spans="1:50" s="47" customFormat="1" ht="20.399999999999999" x14ac:dyDescent="0.2">
      <c r="A82" s="388" t="s">
        <v>532</v>
      </c>
      <c r="B82" s="378" t="s">
        <v>599</v>
      </c>
      <c r="C82" s="378" t="s">
        <v>15</v>
      </c>
      <c r="D82" s="378" t="s">
        <v>69</v>
      </c>
      <c r="E82" s="378" t="s">
        <v>422</v>
      </c>
      <c r="F82" s="378" t="s">
        <v>100</v>
      </c>
      <c r="G82" s="378" t="s">
        <v>101</v>
      </c>
      <c r="H82" s="378" t="s">
        <v>533</v>
      </c>
      <c r="I82" s="378" t="s">
        <v>534</v>
      </c>
      <c r="J82" s="378" t="s">
        <v>61</v>
      </c>
      <c r="K82" s="378" t="s">
        <v>62</v>
      </c>
      <c r="L82" s="378" t="s">
        <v>68</v>
      </c>
      <c r="M82" s="378" t="s">
        <v>760</v>
      </c>
      <c r="N82" s="378" t="s">
        <v>65</v>
      </c>
      <c r="O82" s="378" t="s">
        <v>66</v>
      </c>
      <c r="P82" s="378" t="s">
        <v>67</v>
      </c>
      <c r="Q82" s="380" t="s">
        <v>602</v>
      </c>
      <c r="R82" s="75"/>
      <c r="S82" s="75"/>
    </row>
    <row r="83" spans="1:50" s="47" customFormat="1" ht="20.399999999999999" x14ac:dyDescent="0.2">
      <c r="A83" s="378" t="s">
        <v>54</v>
      </c>
      <c r="B83" s="378" t="s">
        <v>600</v>
      </c>
      <c r="C83" s="378" t="s">
        <v>15</v>
      </c>
      <c r="D83" s="378" t="s">
        <v>69</v>
      </c>
      <c r="E83" s="378" t="s">
        <v>165</v>
      </c>
      <c r="F83" s="378" t="s">
        <v>95</v>
      </c>
      <c r="G83" s="378" t="s">
        <v>166</v>
      </c>
      <c r="H83" s="378" t="s">
        <v>167</v>
      </c>
      <c r="I83" s="378" t="s">
        <v>168</v>
      </c>
      <c r="J83" s="378" t="s">
        <v>61</v>
      </c>
      <c r="K83" s="378" t="s">
        <v>62</v>
      </c>
      <c r="L83" s="378" t="s">
        <v>760</v>
      </c>
      <c r="M83" s="378" t="s">
        <v>65</v>
      </c>
      <c r="N83" s="378" t="s">
        <v>66</v>
      </c>
      <c r="O83" s="378" t="s">
        <v>67</v>
      </c>
      <c r="P83" s="378" t="s">
        <v>68</v>
      </c>
      <c r="Q83" s="378" t="s">
        <v>602</v>
      </c>
      <c r="R83" s="75"/>
      <c r="S83" s="75"/>
    </row>
    <row r="84" spans="1:50" s="47" customFormat="1" ht="20.399999999999999" x14ac:dyDescent="0.2">
      <c r="A84" s="378" t="s">
        <v>54</v>
      </c>
      <c r="B84" s="378" t="s">
        <v>599</v>
      </c>
      <c r="C84" s="378" t="s">
        <v>15</v>
      </c>
      <c r="D84" s="378" t="s">
        <v>69</v>
      </c>
      <c r="E84" s="378" t="s">
        <v>165</v>
      </c>
      <c r="F84" s="378" t="s">
        <v>95</v>
      </c>
      <c r="G84" s="378" t="s">
        <v>166</v>
      </c>
      <c r="H84" s="378" t="s">
        <v>167</v>
      </c>
      <c r="I84" s="378" t="s">
        <v>168</v>
      </c>
      <c r="J84" s="378" t="s">
        <v>61</v>
      </c>
      <c r="K84" s="378" t="s">
        <v>62</v>
      </c>
      <c r="L84" s="378" t="s">
        <v>760</v>
      </c>
      <c r="M84" s="378" t="s">
        <v>65</v>
      </c>
      <c r="N84" s="378" t="s">
        <v>66</v>
      </c>
      <c r="O84" s="378" t="s">
        <v>67</v>
      </c>
      <c r="P84" s="378" t="s">
        <v>68</v>
      </c>
      <c r="Q84" s="378" t="s">
        <v>602</v>
      </c>
      <c r="R84" s="75"/>
      <c r="S84" s="75"/>
    </row>
    <row r="85" spans="1:50" s="47" customFormat="1" ht="20.399999999999999" x14ac:dyDescent="0.2">
      <c r="A85" s="72" t="s">
        <v>53</v>
      </c>
      <c r="B85" s="45" t="s">
        <v>600</v>
      </c>
      <c r="C85" s="73" t="s">
        <v>15</v>
      </c>
      <c r="D85" s="73" t="s">
        <v>69</v>
      </c>
      <c r="E85" s="73" t="s">
        <v>162</v>
      </c>
      <c r="F85" s="73" t="s">
        <v>163</v>
      </c>
      <c r="G85" s="73" t="s">
        <v>100</v>
      </c>
      <c r="H85" s="73" t="s">
        <v>124</v>
      </c>
      <c r="I85" s="73" t="s">
        <v>164</v>
      </c>
      <c r="J85" s="73" t="s">
        <v>61</v>
      </c>
      <c r="K85" s="73" t="s">
        <v>62</v>
      </c>
      <c r="L85" s="73" t="s">
        <v>760</v>
      </c>
      <c r="M85" s="73" t="s">
        <v>65</v>
      </c>
      <c r="N85" s="73" t="s">
        <v>66</v>
      </c>
      <c r="O85" s="73" t="s">
        <v>67</v>
      </c>
      <c r="P85" s="73" t="s">
        <v>68</v>
      </c>
      <c r="Q85" s="71" t="s">
        <v>38</v>
      </c>
      <c r="R85" s="47" t="s">
        <v>602</v>
      </c>
    </row>
    <row r="86" spans="1:50" s="47" customFormat="1" ht="20.399999999999999" x14ac:dyDescent="0.2">
      <c r="A86" s="72" t="s">
        <v>53</v>
      </c>
      <c r="B86" s="45" t="s">
        <v>599</v>
      </c>
      <c r="C86" s="73" t="s">
        <v>15</v>
      </c>
      <c r="D86" s="73" t="s">
        <v>69</v>
      </c>
      <c r="E86" s="73" t="s">
        <v>162</v>
      </c>
      <c r="F86" s="73" t="s">
        <v>163</v>
      </c>
      <c r="G86" s="73" t="s">
        <v>100</v>
      </c>
      <c r="H86" s="73" t="s">
        <v>124</v>
      </c>
      <c r="I86" s="73" t="s">
        <v>164</v>
      </c>
      <c r="J86" s="73" t="s">
        <v>61</v>
      </c>
      <c r="K86" s="73" t="s">
        <v>62</v>
      </c>
      <c r="L86" s="73" t="s">
        <v>760</v>
      </c>
      <c r="M86" s="73" t="s">
        <v>65</v>
      </c>
      <c r="N86" s="73" t="s">
        <v>66</v>
      </c>
      <c r="O86" s="73" t="s">
        <v>67</v>
      </c>
      <c r="P86" s="73" t="s">
        <v>68</v>
      </c>
      <c r="Q86" s="71" t="s">
        <v>38</v>
      </c>
      <c r="R86" s="47" t="s">
        <v>602</v>
      </c>
    </row>
    <row r="87" spans="1:50" s="47" customFormat="1" ht="20.399999999999999" x14ac:dyDescent="0.2">
      <c r="A87" s="378" t="s">
        <v>531</v>
      </c>
      <c r="B87" s="378" t="s">
        <v>600</v>
      </c>
      <c r="C87" s="378" t="s">
        <v>15</v>
      </c>
      <c r="D87" s="378" t="s">
        <v>26</v>
      </c>
      <c r="E87" s="378" t="s">
        <v>141</v>
      </c>
      <c r="F87" s="378" t="s">
        <v>788</v>
      </c>
      <c r="G87" s="378" t="s">
        <v>61</v>
      </c>
      <c r="H87" s="378" t="s">
        <v>62</v>
      </c>
      <c r="I87" s="378" t="s">
        <v>760</v>
      </c>
      <c r="J87" s="378" t="s">
        <v>65</v>
      </c>
      <c r="K87" s="378" t="s">
        <v>66</v>
      </c>
      <c r="L87" s="378" t="s">
        <v>67</v>
      </c>
      <c r="M87" s="378" t="s">
        <v>68</v>
      </c>
      <c r="N87" s="378" t="s">
        <v>602</v>
      </c>
      <c r="O87" s="378"/>
      <c r="P87" s="378"/>
      <c r="Q87" s="378"/>
      <c r="R87" s="75"/>
      <c r="S87" s="75"/>
    </row>
    <row r="88" spans="1:50" s="47" customFormat="1" ht="20.399999999999999" x14ac:dyDescent="0.2">
      <c r="A88" s="378" t="s">
        <v>531</v>
      </c>
      <c r="B88" s="378" t="s">
        <v>599</v>
      </c>
      <c r="C88" s="378" t="s">
        <v>15</v>
      </c>
      <c r="D88" s="378" t="s">
        <v>26</v>
      </c>
      <c r="E88" s="378" t="s">
        <v>141</v>
      </c>
      <c r="F88" s="378" t="s">
        <v>788</v>
      </c>
      <c r="G88" s="378" t="s">
        <v>61</v>
      </c>
      <c r="H88" s="378" t="s">
        <v>62</v>
      </c>
      <c r="I88" s="378" t="s">
        <v>760</v>
      </c>
      <c r="J88" s="378" t="s">
        <v>65</v>
      </c>
      <c r="K88" s="378" t="s">
        <v>66</v>
      </c>
      <c r="L88" s="378" t="s">
        <v>67</v>
      </c>
      <c r="M88" s="378" t="s">
        <v>68</v>
      </c>
      <c r="N88" s="378" t="s">
        <v>602</v>
      </c>
      <c r="O88" s="378"/>
      <c r="P88" s="378"/>
      <c r="Q88" s="378"/>
      <c r="R88" s="75"/>
      <c r="S88" s="75"/>
    </row>
    <row r="89" spans="1:50" s="47" customFormat="1" ht="20.399999999999999" x14ac:dyDescent="0.2">
      <c r="A89" s="378" t="s">
        <v>51</v>
      </c>
      <c r="B89" s="378" t="s">
        <v>600</v>
      </c>
      <c r="C89" s="378" t="s">
        <v>15</v>
      </c>
      <c r="D89" s="378" t="s">
        <v>22</v>
      </c>
      <c r="E89" s="378" t="s">
        <v>38</v>
      </c>
      <c r="F89" s="378" t="s">
        <v>418</v>
      </c>
      <c r="G89" s="378" t="s">
        <v>61</v>
      </c>
      <c r="H89" s="378" t="s">
        <v>62</v>
      </c>
      <c r="I89" s="378" t="s">
        <v>760</v>
      </c>
      <c r="J89" s="378" t="s">
        <v>65</v>
      </c>
      <c r="K89" s="378" t="s">
        <v>66</v>
      </c>
      <c r="L89" s="378" t="s">
        <v>67</v>
      </c>
      <c r="M89" s="378" t="s">
        <v>68</v>
      </c>
      <c r="N89" s="378" t="s">
        <v>602</v>
      </c>
      <c r="O89" s="378"/>
      <c r="P89" s="378"/>
      <c r="Q89" s="378"/>
      <c r="R89" s="75"/>
      <c r="S89" s="75"/>
    </row>
    <row r="90" spans="1:50" s="47" customFormat="1" ht="20.399999999999999" x14ac:dyDescent="0.2">
      <c r="A90" s="378" t="s">
        <v>51</v>
      </c>
      <c r="B90" s="378" t="s">
        <v>599</v>
      </c>
      <c r="C90" s="378" t="s">
        <v>15</v>
      </c>
      <c r="D90" s="378" t="s">
        <v>22</v>
      </c>
      <c r="E90" s="378" t="s">
        <v>38</v>
      </c>
      <c r="F90" s="378" t="s">
        <v>418</v>
      </c>
      <c r="G90" s="378" t="s">
        <v>61</v>
      </c>
      <c r="H90" s="378" t="s">
        <v>62</v>
      </c>
      <c r="I90" s="378" t="s">
        <v>760</v>
      </c>
      <c r="J90" s="378" t="s">
        <v>65</v>
      </c>
      <c r="K90" s="378" t="s">
        <v>66</v>
      </c>
      <c r="L90" s="378" t="s">
        <v>67</v>
      </c>
      <c r="M90" s="378" t="s">
        <v>68</v>
      </c>
      <c r="N90" s="378" t="s">
        <v>602</v>
      </c>
      <c r="O90" s="378"/>
      <c r="P90" s="378"/>
      <c r="Q90" s="378"/>
      <c r="R90" s="75"/>
      <c r="S90" s="75"/>
    </row>
    <row r="91" spans="1:50" s="47" customFormat="1" ht="20.399999999999999" x14ac:dyDescent="0.2">
      <c r="A91" s="569" t="s">
        <v>483</v>
      </c>
      <c r="B91" s="378" t="s">
        <v>600</v>
      </c>
      <c r="C91" s="378" t="s">
        <v>15</v>
      </c>
      <c r="D91" s="378" t="s">
        <v>69</v>
      </c>
      <c r="E91" s="378" t="s">
        <v>95</v>
      </c>
      <c r="F91" s="378" t="s">
        <v>790</v>
      </c>
      <c r="G91" s="378" t="s">
        <v>538</v>
      </c>
      <c r="H91" s="378" t="s">
        <v>548</v>
      </c>
      <c r="I91" s="378" t="s">
        <v>61</v>
      </c>
      <c r="J91" s="378" t="s">
        <v>62</v>
      </c>
      <c r="K91" s="378" t="s">
        <v>68</v>
      </c>
      <c r="L91" s="378" t="s">
        <v>760</v>
      </c>
      <c r="M91" s="378" t="s">
        <v>65</v>
      </c>
      <c r="N91" s="378" t="s">
        <v>66</v>
      </c>
      <c r="O91" s="378" t="s">
        <v>67</v>
      </c>
      <c r="P91" s="378" t="s">
        <v>602</v>
      </c>
      <c r="Q91" s="380"/>
      <c r="R91" s="75"/>
      <c r="S91" s="75"/>
    </row>
    <row r="92" spans="1:50" s="47" customFormat="1" ht="20.399999999999999" x14ac:dyDescent="0.2">
      <c r="A92" s="384" t="s">
        <v>921</v>
      </c>
      <c r="B92" s="378" t="s">
        <v>599</v>
      </c>
      <c r="C92" s="378" t="s">
        <v>15</v>
      </c>
      <c r="D92" s="378" t="s">
        <v>69</v>
      </c>
      <c r="E92" s="378" t="s">
        <v>95</v>
      </c>
      <c r="F92" s="378" t="s">
        <v>790</v>
      </c>
      <c r="G92" s="378" t="s">
        <v>538</v>
      </c>
      <c r="H92" s="378" t="s">
        <v>548</v>
      </c>
      <c r="I92" s="378" t="s">
        <v>61</v>
      </c>
      <c r="J92" s="378" t="s">
        <v>62</v>
      </c>
      <c r="K92" s="378" t="s">
        <v>68</v>
      </c>
      <c r="L92" s="378" t="s">
        <v>760</v>
      </c>
      <c r="M92" s="378" t="s">
        <v>65</v>
      </c>
      <c r="N92" s="378" t="s">
        <v>66</v>
      </c>
      <c r="O92" s="378" t="s">
        <v>67</v>
      </c>
      <c r="P92" s="378" t="s">
        <v>602</v>
      </c>
      <c r="Q92" s="378"/>
      <c r="R92" s="75"/>
      <c r="S92" s="75"/>
    </row>
    <row r="93" spans="1:50" s="47" customFormat="1" ht="20.399999999999999" x14ac:dyDescent="0.2">
      <c r="A93" s="378" t="s">
        <v>46</v>
      </c>
      <c r="B93" s="378" t="s">
        <v>600</v>
      </c>
      <c r="C93" s="378" t="s">
        <v>15</v>
      </c>
      <c r="D93" s="378" t="s">
        <v>69</v>
      </c>
      <c r="E93" s="378" t="s">
        <v>123</v>
      </c>
      <c r="F93" s="378" t="s">
        <v>124</v>
      </c>
      <c r="G93" s="378" t="s">
        <v>125</v>
      </c>
      <c r="H93" s="378" t="s">
        <v>126</v>
      </c>
      <c r="I93" s="378" t="s">
        <v>118</v>
      </c>
      <c r="J93" s="378" t="s">
        <v>61</v>
      </c>
      <c r="K93" s="378" t="s">
        <v>62</v>
      </c>
      <c r="L93" s="378" t="s">
        <v>760</v>
      </c>
      <c r="M93" s="378" t="s">
        <v>65</v>
      </c>
      <c r="N93" s="378" t="s">
        <v>66</v>
      </c>
      <c r="O93" s="378" t="s">
        <v>67</v>
      </c>
      <c r="P93" s="378" t="s">
        <v>68</v>
      </c>
      <c r="Q93" s="378" t="s">
        <v>602</v>
      </c>
      <c r="R93" s="75"/>
      <c r="S93" s="75"/>
    </row>
    <row r="94" spans="1:50" s="47" customFormat="1" ht="20.399999999999999" x14ac:dyDescent="0.2">
      <c r="A94" s="378" t="s">
        <v>46</v>
      </c>
      <c r="B94" s="378" t="s">
        <v>599</v>
      </c>
      <c r="C94" s="378" t="s">
        <v>15</v>
      </c>
      <c r="D94" s="378" t="s">
        <v>69</v>
      </c>
      <c r="E94" s="378" t="s">
        <v>123</v>
      </c>
      <c r="F94" s="378" t="s">
        <v>124</v>
      </c>
      <c r="G94" s="378" t="s">
        <v>125</v>
      </c>
      <c r="H94" s="378" t="s">
        <v>126</v>
      </c>
      <c r="I94" s="378" t="s">
        <v>118</v>
      </c>
      <c r="J94" s="378" t="s">
        <v>61</v>
      </c>
      <c r="K94" s="378" t="s">
        <v>62</v>
      </c>
      <c r="L94" s="378" t="s">
        <v>760</v>
      </c>
      <c r="M94" s="378" t="s">
        <v>65</v>
      </c>
      <c r="N94" s="378" t="s">
        <v>66</v>
      </c>
      <c r="O94" s="378" t="s">
        <v>67</v>
      </c>
      <c r="P94" s="378" t="s">
        <v>68</v>
      </c>
      <c r="Q94" s="378" t="s">
        <v>602</v>
      </c>
      <c r="R94" s="75"/>
      <c r="S94" s="75"/>
    </row>
    <row r="95" spans="1:50" s="47" customFormat="1" ht="20.399999999999999" x14ac:dyDescent="0.2">
      <c r="A95" s="378" t="s">
        <v>746</v>
      </c>
      <c r="B95" s="378" t="s">
        <v>600</v>
      </c>
      <c r="C95" s="378" t="s">
        <v>15</v>
      </c>
      <c r="D95" s="378" t="s">
        <v>141</v>
      </c>
      <c r="E95" s="378" t="s">
        <v>32</v>
      </c>
      <c r="F95" s="378" t="s">
        <v>61</v>
      </c>
      <c r="G95" s="378" t="s">
        <v>62</v>
      </c>
      <c r="H95" s="378" t="s">
        <v>760</v>
      </c>
      <c r="I95" s="378" t="s">
        <v>65</v>
      </c>
      <c r="J95" s="378" t="s">
        <v>66</v>
      </c>
      <c r="K95" s="378" t="s">
        <v>67</v>
      </c>
      <c r="L95" s="378" t="s">
        <v>68</v>
      </c>
      <c r="M95" s="378" t="s">
        <v>602</v>
      </c>
      <c r="N95" s="378"/>
      <c r="O95" s="378"/>
      <c r="P95" s="378"/>
      <c r="Q95" s="378"/>
      <c r="R95" s="75"/>
      <c r="S95" s="75"/>
    </row>
    <row r="96" spans="1:50" s="47" customFormat="1" ht="20.399999999999999" x14ac:dyDescent="0.2">
      <c r="A96" s="378" t="s">
        <v>746</v>
      </c>
      <c r="B96" s="378" t="s">
        <v>599</v>
      </c>
      <c r="C96" s="378" t="s">
        <v>15</v>
      </c>
      <c r="D96" s="378" t="s">
        <v>141</v>
      </c>
      <c r="E96" s="378" t="s">
        <v>32</v>
      </c>
      <c r="F96" s="378" t="s">
        <v>61</v>
      </c>
      <c r="G96" s="378" t="s">
        <v>62</v>
      </c>
      <c r="H96" s="378" t="s">
        <v>760</v>
      </c>
      <c r="I96" s="378" t="s">
        <v>65</v>
      </c>
      <c r="J96" s="378" t="s">
        <v>66</v>
      </c>
      <c r="K96" s="378" t="s">
        <v>67</v>
      </c>
      <c r="L96" s="378" t="s">
        <v>68</v>
      </c>
      <c r="M96" s="378" t="s">
        <v>602</v>
      </c>
      <c r="N96" s="378"/>
      <c r="O96" s="378"/>
      <c r="P96" s="378"/>
      <c r="Q96" s="378"/>
      <c r="R96" s="75"/>
      <c r="S96" s="75"/>
    </row>
    <row r="97" spans="1:25" s="47" customFormat="1" ht="20.399999999999999" x14ac:dyDescent="0.2">
      <c r="A97" s="72" t="s">
        <v>419</v>
      </c>
      <c r="B97" s="45" t="s">
        <v>600</v>
      </c>
      <c r="C97" s="73" t="s">
        <v>15</v>
      </c>
      <c r="D97" s="73" t="s">
        <v>27</v>
      </c>
      <c r="E97" s="73" t="s">
        <v>91</v>
      </c>
      <c r="F97" s="73" t="s">
        <v>420</v>
      </c>
      <c r="G97" s="73" t="s">
        <v>421</v>
      </c>
      <c r="H97" s="73" t="s">
        <v>422</v>
      </c>
      <c r="I97" s="73" t="s">
        <v>95</v>
      </c>
      <c r="J97" s="73" t="s">
        <v>61</v>
      </c>
      <c r="K97" s="73" t="s">
        <v>62</v>
      </c>
      <c r="L97" s="73" t="s">
        <v>760</v>
      </c>
      <c r="M97" s="73" t="s">
        <v>65</v>
      </c>
      <c r="N97" s="73" t="s">
        <v>66</v>
      </c>
      <c r="O97" s="73" t="s">
        <v>67</v>
      </c>
      <c r="P97" s="73" t="s">
        <v>68</v>
      </c>
      <c r="Q97" s="71" t="s">
        <v>602</v>
      </c>
      <c r="R97" s="47" t="s">
        <v>100</v>
      </c>
      <c r="S97" s="47" t="s">
        <v>124</v>
      </c>
    </row>
    <row r="98" spans="1:25" s="47" customFormat="1" ht="20.399999999999999" x14ac:dyDescent="0.2">
      <c r="A98" s="378" t="s">
        <v>419</v>
      </c>
      <c r="B98" s="378" t="s">
        <v>599</v>
      </c>
      <c r="C98" s="378" t="s">
        <v>15</v>
      </c>
      <c r="D98" s="378" t="s">
        <v>27</v>
      </c>
      <c r="E98" s="378" t="s">
        <v>91</v>
      </c>
      <c r="F98" s="378" t="s">
        <v>420</v>
      </c>
      <c r="G98" s="378" t="s">
        <v>421</v>
      </c>
      <c r="H98" s="378" t="s">
        <v>422</v>
      </c>
      <c r="I98" s="378" t="s">
        <v>95</v>
      </c>
      <c r="J98" s="378" t="s">
        <v>61</v>
      </c>
      <c r="K98" s="378" t="s">
        <v>62</v>
      </c>
      <c r="L98" s="378" t="s">
        <v>760</v>
      </c>
      <c r="M98" s="378" t="s">
        <v>65</v>
      </c>
      <c r="N98" s="378" t="s">
        <v>66</v>
      </c>
      <c r="O98" s="378" t="s">
        <v>67</v>
      </c>
      <c r="P98" s="378" t="s">
        <v>68</v>
      </c>
      <c r="Q98" s="378" t="s">
        <v>602</v>
      </c>
      <c r="R98" s="75" t="s">
        <v>100</v>
      </c>
      <c r="S98" s="75" t="s">
        <v>124</v>
      </c>
    </row>
    <row r="99" spans="1:25" s="47" customFormat="1" ht="20.399999999999999" x14ac:dyDescent="0.2">
      <c r="A99" s="378" t="s">
        <v>423</v>
      </c>
      <c r="B99" s="378" t="s">
        <v>600</v>
      </c>
      <c r="C99" s="378" t="s">
        <v>15</v>
      </c>
      <c r="D99" s="378" t="s">
        <v>421</v>
      </c>
      <c r="E99" s="378" t="s">
        <v>422</v>
      </c>
      <c r="F99" s="378" t="s">
        <v>95</v>
      </c>
      <c r="G99" s="378" t="s">
        <v>38</v>
      </c>
      <c r="H99" s="378" t="s">
        <v>61</v>
      </c>
      <c r="I99" s="378" t="s">
        <v>62</v>
      </c>
      <c r="J99" s="378" t="s">
        <v>760</v>
      </c>
      <c r="K99" s="378" t="s">
        <v>65</v>
      </c>
      <c r="L99" s="378" t="s">
        <v>66</v>
      </c>
      <c r="M99" s="378" t="s">
        <v>67</v>
      </c>
      <c r="N99" s="378" t="s">
        <v>68</v>
      </c>
      <c r="O99" s="378" t="s">
        <v>602</v>
      </c>
      <c r="P99" s="378"/>
      <c r="Q99" s="378"/>
      <c r="R99" s="75"/>
      <c r="S99" s="75"/>
    </row>
    <row r="100" spans="1:25" s="47" customFormat="1" ht="20.399999999999999" x14ac:dyDescent="0.2">
      <c r="A100" s="378" t="s">
        <v>423</v>
      </c>
      <c r="B100" s="378" t="s">
        <v>599</v>
      </c>
      <c r="C100" s="378" t="s">
        <v>15</v>
      </c>
      <c r="D100" s="378" t="s">
        <v>421</v>
      </c>
      <c r="E100" s="378" t="s">
        <v>422</v>
      </c>
      <c r="F100" s="378" t="s">
        <v>95</v>
      </c>
      <c r="G100" s="378" t="s">
        <v>38</v>
      </c>
      <c r="H100" s="378" t="s">
        <v>61</v>
      </c>
      <c r="I100" s="378" t="s">
        <v>62</v>
      </c>
      <c r="J100" s="378" t="s">
        <v>760</v>
      </c>
      <c r="K100" s="378" t="s">
        <v>65</v>
      </c>
      <c r="L100" s="378" t="s">
        <v>66</v>
      </c>
      <c r="M100" s="378" t="s">
        <v>67</v>
      </c>
      <c r="N100" s="378" t="s">
        <v>68</v>
      </c>
      <c r="O100" s="378" t="s">
        <v>602</v>
      </c>
      <c r="P100" s="378"/>
      <c r="Q100" s="378"/>
      <c r="R100" s="75"/>
      <c r="S100" s="75"/>
    </row>
    <row r="101" spans="1:25" s="47" customFormat="1" ht="20.399999999999999" x14ac:dyDescent="0.3">
      <c r="A101" s="378" t="s">
        <v>301</v>
      </c>
      <c r="B101" s="378" t="s">
        <v>600</v>
      </c>
      <c r="C101" s="378" t="s">
        <v>15</v>
      </c>
      <c r="D101" s="378" t="s">
        <v>95</v>
      </c>
      <c r="E101" s="378" t="s">
        <v>166</v>
      </c>
      <c r="F101" s="378" t="s">
        <v>167</v>
      </c>
      <c r="G101" s="378" t="s">
        <v>61</v>
      </c>
      <c r="H101" s="378" t="s">
        <v>62</v>
      </c>
      <c r="I101" s="381" t="s">
        <v>760</v>
      </c>
      <c r="J101" s="381" t="s">
        <v>65</v>
      </c>
      <c r="K101" s="381" t="s">
        <v>66</v>
      </c>
      <c r="L101" s="381" t="s">
        <v>67</v>
      </c>
      <c r="M101" s="381" t="s">
        <v>68</v>
      </c>
      <c r="N101" s="381" t="s">
        <v>602</v>
      </c>
      <c r="O101" s="381"/>
      <c r="P101" s="381"/>
      <c r="Q101" s="381"/>
      <c r="R101" s="75"/>
      <c r="S101" s="75"/>
    </row>
    <row r="102" spans="1:25" s="47" customFormat="1" ht="20.399999999999999" x14ac:dyDescent="0.2">
      <c r="A102" s="378" t="s">
        <v>301</v>
      </c>
      <c r="B102" s="378" t="s">
        <v>599</v>
      </c>
      <c r="C102" s="378" t="s">
        <v>15</v>
      </c>
      <c r="D102" s="378" t="s">
        <v>95</v>
      </c>
      <c r="E102" s="378" t="s">
        <v>166</v>
      </c>
      <c r="F102" s="378" t="s">
        <v>167</v>
      </c>
      <c r="G102" s="378" t="s">
        <v>61</v>
      </c>
      <c r="H102" s="378" t="s">
        <v>62</v>
      </c>
      <c r="I102" s="378" t="s">
        <v>760</v>
      </c>
      <c r="J102" s="378" t="s">
        <v>65</v>
      </c>
      <c r="K102" s="378" t="s">
        <v>66</v>
      </c>
      <c r="L102" s="378" t="s">
        <v>67</v>
      </c>
      <c r="M102" s="378" t="s">
        <v>68</v>
      </c>
      <c r="N102" s="378" t="s">
        <v>602</v>
      </c>
      <c r="O102" s="378"/>
      <c r="P102" s="378"/>
      <c r="Q102" s="378"/>
      <c r="R102" s="75"/>
      <c r="S102" s="75"/>
    </row>
    <row r="103" spans="1:25" s="47" customFormat="1" ht="20.399999999999999" x14ac:dyDescent="0.2">
      <c r="A103" s="378" t="s">
        <v>754</v>
      </c>
      <c r="B103" s="378" t="s">
        <v>600</v>
      </c>
      <c r="C103" s="378" t="s">
        <v>15</v>
      </c>
      <c r="D103" s="378" t="s">
        <v>114</v>
      </c>
      <c r="E103" s="378" t="s">
        <v>61</v>
      </c>
      <c r="F103" s="378" t="s">
        <v>62</v>
      </c>
      <c r="G103" s="378" t="s">
        <v>68</v>
      </c>
      <c r="H103" s="378" t="s">
        <v>760</v>
      </c>
      <c r="I103" s="378" t="s">
        <v>65</v>
      </c>
      <c r="J103" s="378" t="s">
        <v>66</v>
      </c>
      <c r="K103" s="378" t="s">
        <v>67</v>
      </c>
      <c r="L103" s="378" t="s">
        <v>22</v>
      </c>
      <c r="M103" s="378" t="s">
        <v>602</v>
      </c>
      <c r="N103" s="378"/>
      <c r="O103" s="378"/>
      <c r="P103" s="378"/>
      <c r="Q103" s="378"/>
      <c r="R103" s="75"/>
      <c r="S103" s="75"/>
    </row>
    <row r="104" spans="1:25" s="47" customFormat="1" ht="20.399999999999999" x14ac:dyDescent="0.2">
      <c r="A104" s="378" t="s">
        <v>754</v>
      </c>
      <c r="B104" s="378" t="s">
        <v>599</v>
      </c>
      <c r="C104" s="378" t="s">
        <v>15</v>
      </c>
      <c r="D104" s="378" t="s">
        <v>114</v>
      </c>
      <c r="E104" s="378" t="s">
        <v>61</v>
      </c>
      <c r="F104" s="378" t="s">
        <v>62</v>
      </c>
      <c r="G104" s="378" t="s">
        <v>68</v>
      </c>
      <c r="H104" s="378" t="s">
        <v>760</v>
      </c>
      <c r="I104" s="378" t="s">
        <v>65</v>
      </c>
      <c r="J104" s="378" t="s">
        <v>66</v>
      </c>
      <c r="K104" s="378" t="s">
        <v>67</v>
      </c>
      <c r="L104" s="378" t="s">
        <v>22</v>
      </c>
      <c r="M104" s="378" t="s">
        <v>602</v>
      </c>
      <c r="N104" s="378"/>
      <c r="O104" s="378"/>
      <c r="P104" s="378"/>
      <c r="Q104" s="378"/>
      <c r="R104" s="75"/>
      <c r="S104" s="75"/>
    </row>
    <row r="105" spans="1:25" s="47" customFormat="1" ht="20.399999999999999" x14ac:dyDescent="0.2">
      <c r="A105" s="379" t="s">
        <v>50</v>
      </c>
      <c r="B105" s="378" t="s">
        <v>600</v>
      </c>
      <c r="C105" s="378" t="s">
        <v>15</v>
      </c>
      <c r="D105" s="378" t="s">
        <v>149</v>
      </c>
      <c r="E105" s="378" t="s">
        <v>155</v>
      </c>
      <c r="F105" s="378" t="s">
        <v>160</v>
      </c>
      <c r="G105" s="378" t="s">
        <v>100</v>
      </c>
      <c r="H105" s="378" t="s">
        <v>101</v>
      </c>
      <c r="I105" s="378" t="s">
        <v>156</v>
      </c>
      <c r="J105" s="378" t="s">
        <v>157</v>
      </c>
      <c r="K105" s="378" t="s">
        <v>158</v>
      </c>
      <c r="L105" s="378" t="s">
        <v>159</v>
      </c>
      <c r="M105" s="378" t="s">
        <v>92</v>
      </c>
      <c r="N105" s="378" t="s">
        <v>93</v>
      </c>
      <c r="O105" s="378" t="s">
        <v>95</v>
      </c>
      <c r="P105" s="378" t="s">
        <v>118</v>
      </c>
      <c r="Q105" s="380" t="s">
        <v>548</v>
      </c>
      <c r="R105" s="75" t="s">
        <v>61</v>
      </c>
      <c r="S105" s="75" t="s">
        <v>62</v>
      </c>
      <c r="T105" s="47" t="s">
        <v>760</v>
      </c>
      <c r="U105" s="47" t="s">
        <v>65</v>
      </c>
      <c r="V105" s="47" t="s">
        <v>66</v>
      </c>
      <c r="W105" s="47" t="s">
        <v>67</v>
      </c>
      <c r="X105" s="47" t="s">
        <v>68</v>
      </c>
      <c r="Y105" s="47" t="s">
        <v>602</v>
      </c>
    </row>
    <row r="106" spans="1:25" s="47" customFormat="1" ht="20.399999999999999" x14ac:dyDescent="0.2">
      <c r="A106" s="378" t="s">
        <v>50</v>
      </c>
      <c r="B106" s="378" t="s">
        <v>599</v>
      </c>
      <c r="C106" s="378" t="s">
        <v>15</v>
      </c>
      <c r="D106" s="378" t="s">
        <v>149</v>
      </c>
      <c r="E106" s="378" t="s">
        <v>155</v>
      </c>
      <c r="F106" s="378" t="s">
        <v>160</v>
      </c>
      <c r="G106" s="378" t="s">
        <v>100</v>
      </c>
      <c r="H106" s="378" t="s">
        <v>101</v>
      </c>
      <c r="I106" s="378" t="s">
        <v>156</v>
      </c>
      <c r="J106" s="378" t="s">
        <v>157</v>
      </c>
      <c r="K106" s="378" t="s">
        <v>158</v>
      </c>
      <c r="L106" s="378" t="s">
        <v>159</v>
      </c>
      <c r="M106" s="378" t="s">
        <v>92</v>
      </c>
      <c r="N106" s="378" t="s">
        <v>93</v>
      </c>
      <c r="O106" s="378" t="s">
        <v>95</v>
      </c>
      <c r="P106" s="378" t="s">
        <v>118</v>
      </c>
      <c r="Q106" s="378" t="s">
        <v>548</v>
      </c>
      <c r="R106" s="75" t="s">
        <v>61</v>
      </c>
      <c r="S106" s="75" t="s">
        <v>62</v>
      </c>
      <c r="T106" s="47" t="s">
        <v>760</v>
      </c>
      <c r="U106" s="47" t="s">
        <v>65</v>
      </c>
      <c r="V106" s="47" t="s">
        <v>66</v>
      </c>
      <c r="W106" s="47" t="s">
        <v>67</v>
      </c>
      <c r="X106" s="47" t="s">
        <v>68</v>
      </c>
      <c r="Y106" s="47" t="s">
        <v>602</v>
      </c>
    </row>
    <row r="107" spans="1:25" s="47" customFormat="1" ht="20.399999999999999" x14ac:dyDescent="0.2">
      <c r="A107" s="72" t="s">
        <v>749</v>
      </c>
      <c r="B107" s="45" t="s">
        <v>600</v>
      </c>
      <c r="C107" s="73" t="s">
        <v>15</v>
      </c>
      <c r="D107" s="73" t="s">
        <v>795</v>
      </c>
      <c r="E107" s="73" t="s">
        <v>796</v>
      </c>
      <c r="F107" s="73" t="s">
        <v>794</v>
      </c>
      <c r="G107" s="73" t="s">
        <v>153</v>
      </c>
      <c r="H107" s="73" t="s">
        <v>117</v>
      </c>
      <c r="I107" s="73" t="s">
        <v>35</v>
      </c>
      <c r="J107" s="73" t="s">
        <v>127</v>
      </c>
      <c r="K107" s="73"/>
      <c r="L107" s="73"/>
      <c r="M107" s="73"/>
      <c r="N107" s="73"/>
      <c r="O107" s="73"/>
      <c r="P107" s="73"/>
      <c r="Q107" s="71"/>
    </row>
    <row r="108" spans="1:25" s="47" customFormat="1" ht="20.399999999999999" x14ac:dyDescent="0.2">
      <c r="A108" s="378" t="s">
        <v>749</v>
      </c>
      <c r="B108" s="378" t="s">
        <v>599</v>
      </c>
      <c r="C108" s="378" t="s">
        <v>15</v>
      </c>
      <c r="D108" s="378" t="s">
        <v>795</v>
      </c>
      <c r="E108" s="378" t="s">
        <v>796</v>
      </c>
      <c r="F108" s="378" t="s">
        <v>794</v>
      </c>
      <c r="G108" s="378" t="s">
        <v>153</v>
      </c>
      <c r="H108" s="378" t="s">
        <v>117</v>
      </c>
      <c r="I108" s="378" t="s">
        <v>35</v>
      </c>
      <c r="J108" s="378" t="s">
        <v>127</v>
      </c>
      <c r="K108" s="378"/>
      <c r="L108" s="378"/>
      <c r="M108" s="378"/>
      <c r="N108" s="378"/>
      <c r="O108" s="378"/>
      <c r="P108" s="378"/>
      <c r="Q108" s="378"/>
      <c r="R108" s="75"/>
      <c r="S108" s="75"/>
    </row>
    <row r="109" spans="1:25" x14ac:dyDescent="0.3">
      <c r="B109" s="31"/>
    </row>
    <row r="110" spans="1:25" x14ac:dyDescent="0.3">
      <c r="B110" s="31"/>
    </row>
    <row r="111" spans="1:25" x14ac:dyDescent="0.3">
      <c r="B111" s="31"/>
    </row>
    <row r="112" spans="1:25" x14ac:dyDescent="0.3">
      <c r="B112" s="31"/>
    </row>
    <row r="113" spans="2:2" x14ac:dyDescent="0.3">
      <c r="B113" s="31"/>
    </row>
    <row r="114" spans="2:2" x14ac:dyDescent="0.3">
      <c r="B114" s="31"/>
    </row>
    <row r="115" spans="2:2" x14ac:dyDescent="0.3">
      <c r="B115" s="31"/>
    </row>
    <row r="116" spans="2:2" x14ac:dyDescent="0.3">
      <c r="B116" s="31"/>
    </row>
    <row r="117" spans="2:2" x14ac:dyDescent="0.3">
      <c r="B117" s="31"/>
    </row>
    <row r="118" spans="2:2" x14ac:dyDescent="0.3">
      <c r="B118" s="31"/>
    </row>
    <row r="119" spans="2:2" x14ac:dyDescent="0.3">
      <c r="B119" s="31"/>
    </row>
    <row r="120" spans="2:2" x14ac:dyDescent="0.3">
      <c r="B120" s="31"/>
    </row>
    <row r="121" spans="2:2" x14ac:dyDescent="0.3">
      <c r="B121" s="31"/>
    </row>
    <row r="122" spans="2:2" x14ac:dyDescent="0.3">
      <c r="B122" s="31"/>
    </row>
    <row r="123" spans="2:2" x14ac:dyDescent="0.3">
      <c r="B123" s="31"/>
    </row>
    <row r="124" spans="2:2" x14ac:dyDescent="0.3">
      <c r="B124" s="31"/>
    </row>
    <row r="125" spans="2:2" x14ac:dyDescent="0.3">
      <c r="B125" s="31"/>
    </row>
    <row r="126" spans="2:2" x14ac:dyDescent="0.3">
      <c r="B126" s="31"/>
    </row>
    <row r="127" spans="2:2" x14ac:dyDescent="0.3">
      <c r="B127" s="31"/>
    </row>
    <row r="128" spans="2:2" x14ac:dyDescent="0.3">
      <c r="B128" s="31"/>
    </row>
    <row r="129" spans="2:2" x14ac:dyDescent="0.3">
      <c r="B129" s="31"/>
    </row>
    <row r="130" spans="2:2" x14ac:dyDescent="0.3">
      <c r="B130" s="31"/>
    </row>
    <row r="131" spans="2:2" x14ac:dyDescent="0.3">
      <c r="B131" s="31"/>
    </row>
    <row r="132" spans="2:2" x14ac:dyDescent="0.3">
      <c r="B132" s="31"/>
    </row>
    <row r="133" spans="2:2" x14ac:dyDescent="0.3">
      <c r="B133" s="31"/>
    </row>
    <row r="134" spans="2:2" x14ac:dyDescent="0.3">
      <c r="B134" s="31"/>
    </row>
    <row r="135" spans="2:2" x14ac:dyDescent="0.3">
      <c r="B135" s="31"/>
    </row>
    <row r="136" spans="2:2" x14ac:dyDescent="0.3">
      <c r="B136" s="31"/>
    </row>
    <row r="137" spans="2:2" x14ac:dyDescent="0.3">
      <c r="B137" s="31"/>
    </row>
    <row r="138" spans="2:2" x14ac:dyDescent="0.3">
      <c r="B138" s="31"/>
    </row>
    <row r="139" spans="2:2" x14ac:dyDescent="0.3">
      <c r="B139" s="31"/>
    </row>
    <row r="140" spans="2:2" x14ac:dyDescent="0.3">
      <c r="B140" s="31"/>
    </row>
    <row r="141" spans="2:2" x14ac:dyDescent="0.3">
      <c r="B141" s="31"/>
    </row>
    <row r="142" spans="2:2" x14ac:dyDescent="0.3">
      <c r="B142" s="31"/>
    </row>
    <row r="143" spans="2:2" x14ac:dyDescent="0.3">
      <c r="B143" s="31"/>
    </row>
    <row r="144" spans="2:2" x14ac:dyDescent="0.3">
      <c r="B144" s="31"/>
    </row>
    <row r="145" spans="2:2" x14ac:dyDescent="0.3">
      <c r="B145" s="31"/>
    </row>
    <row r="146" spans="2:2" x14ac:dyDescent="0.3">
      <c r="B146" s="31"/>
    </row>
    <row r="147" spans="2:2" x14ac:dyDescent="0.3">
      <c r="B147" s="31"/>
    </row>
    <row r="148" spans="2:2" x14ac:dyDescent="0.3">
      <c r="B148" s="31"/>
    </row>
    <row r="149" spans="2:2" x14ac:dyDescent="0.3">
      <c r="B149" s="31"/>
    </row>
    <row r="150" spans="2:2" x14ac:dyDescent="0.3">
      <c r="B150" s="31"/>
    </row>
    <row r="151" spans="2:2" x14ac:dyDescent="0.3">
      <c r="B151" s="31"/>
    </row>
    <row r="152" spans="2:2" x14ac:dyDescent="0.3">
      <c r="B152" s="31"/>
    </row>
    <row r="153" spans="2:2" x14ac:dyDescent="0.3">
      <c r="B153" s="31"/>
    </row>
    <row r="154" spans="2:2" x14ac:dyDescent="0.3">
      <c r="B154" s="31"/>
    </row>
    <row r="155" spans="2:2" x14ac:dyDescent="0.3">
      <c r="B155" s="31"/>
    </row>
    <row r="156" spans="2:2" x14ac:dyDescent="0.3">
      <c r="B156" s="31"/>
    </row>
    <row r="157" spans="2:2" x14ac:dyDescent="0.3">
      <c r="B157" s="31"/>
    </row>
    <row r="158" spans="2:2" x14ac:dyDescent="0.3">
      <c r="B158" s="31"/>
    </row>
    <row r="159" spans="2:2" x14ac:dyDescent="0.3">
      <c r="B159" s="31"/>
    </row>
    <row r="160" spans="2:2" x14ac:dyDescent="0.3">
      <c r="B160" s="31"/>
    </row>
    <row r="161" spans="2:2" x14ac:dyDescent="0.3">
      <c r="B161" s="31"/>
    </row>
    <row r="162" spans="2:2" x14ac:dyDescent="0.3">
      <c r="B162" s="31"/>
    </row>
    <row r="163" spans="2:2" x14ac:dyDescent="0.3">
      <c r="B163" s="31"/>
    </row>
    <row r="164" spans="2:2" x14ac:dyDescent="0.3">
      <c r="B164" s="31"/>
    </row>
    <row r="165" spans="2:2" x14ac:dyDescent="0.3">
      <c r="B165" s="31"/>
    </row>
    <row r="166" spans="2:2" x14ac:dyDescent="0.3">
      <c r="B166" s="31"/>
    </row>
    <row r="167" spans="2:2" x14ac:dyDescent="0.3">
      <c r="B167" s="31"/>
    </row>
    <row r="168" spans="2:2" x14ac:dyDescent="0.3">
      <c r="B168" s="31"/>
    </row>
    <row r="169" spans="2:2" x14ac:dyDescent="0.3">
      <c r="B169" s="31"/>
    </row>
    <row r="170" spans="2:2" x14ac:dyDescent="0.3">
      <c r="B170" s="31"/>
    </row>
    <row r="171" spans="2:2" x14ac:dyDescent="0.3">
      <c r="B171" s="31"/>
    </row>
    <row r="172" spans="2:2" x14ac:dyDescent="0.3">
      <c r="B172" s="31"/>
    </row>
    <row r="173" spans="2:2" x14ac:dyDescent="0.3">
      <c r="B173" s="31"/>
    </row>
    <row r="174" spans="2:2" x14ac:dyDescent="0.3">
      <c r="B174" s="31"/>
    </row>
    <row r="175" spans="2:2" x14ac:dyDescent="0.3">
      <c r="B175" s="31"/>
    </row>
    <row r="176" spans="2:2" x14ac:dyDescent="0.3">
      <c r="B176" s="31"/>
    </row>
    <row r="177" spans="2:2" x14ac:dyDescent="0.3">
      <c r="B177" s="31"/>
    </row>
    <row r="178" spans="2:2" x14ac:dyDescent="0.3">
      <c r="B178" s="31"/>
    </row>
    <row r="179" spans="2:2" x14ac:dyDescent="0.3">
      <c r="B179" s="31"/>
    </row>
    <row r="180" spans="2:2" x14ac:dyDescent="0.3">
      <c r="B180" s="31"/>
    </row>
    <row r="181" spans="2:2" x14ac:dyDescent="0.3">
      <c r="B181" s="31"/>
    </row>
    <row r="182" spans="2:2" x14ac:dyDescent="0.3">
      <c r="B182" s="31"/>
    </row>
    <row r="183" spans="2:2" x14ac:dyDescent="0.3">
      <c r="B183" s="31"/>
    </row>
    <row r="184" spans="2:2" x14ac:dyDescent="0.3">
      <c r="B184" s="31"/>
    </row>
    <row r="185" spans="2:2" x14ac:dyDescent="0.3">
      <c r="B185" s="31"/>
    </row>
    <row r="186" spans="2:2" x14ac:dyDescent="0.3">
      <c r="B186" s="31"/>
    </row>
    <row r="187" spans="2:2" x14ac:dyDescent="0.3">
      <c r="B187" s="31"/>
    </row>
    <row r="188" spans="2:2" x14ac:dyDescent="0.3">
      <c r="B188" s="31"/>
    </row>
    <row r="189" spans="2:2" x14ac:dyDescent="0.3">
      <c r="B189" s="31"/>
    </row>
    <row r="190" spans="2:2" x14ac:dyDescent="0.3">
      <c r="B190" s="31"/>
    </row>
    <row r="191" spans="2:2" x14ac:dyDescent="0.3">
      <c r="B191" s="31"/>
    </row>
    <row r="192" spans="2:2" x14ac:dyDescent="0.3">
      <c r="B192" s="31"/>
    </row>
    <row r="193" spans="2:2" x14ac:dyDescent="0.3">
      <c r="B193" s="31"/>
    </row>
    <row r="194" spans="2:2" x14ac:dyDescent="0.3">
      <c r="B194" s="31"/>
    </row>
    <row r="195" spans="2:2" x14ac:dyDescent="0.3">
      <c r="B195" s="31"/>
    </row>
    <row r="196" spans="2:2" x14ac:dyDescent="0.3">
      <c r="B196" s="31"/>
    </row>
    <row r="197" spans="2:2" x14ac:dyDescent="0.3">
      <c r="B197" s="31"/>
    </row>
    <row r="198" spans="2:2" x14ac:dyDescent="0.3">
      <c r="B198" s="31"/>
    </row>
    <row r="199" spans="2:2" x14ac:dyDescent="0.3">
      <c r="B199" s="31"/>
    </row>
    <row r="200" spans="2:2" x14ac:dyDescent="0.3">
      <c r="B200" s="31"/>
    </row>
    <row r="201" spans="2:2" x14ac:dyDescent="0.3">
      <c r="B201" s="31"/>
    </row>
    <row r="202" spans="2:2" x14ac:dyDescent="0.3">
      <c r="B202" s="31"/>
    </row>
    <row r="203" spans="2:2" x14ac:dyDescent="0.3">
      <c r="B203" s="31"/>
    </row>
    <row r="204" spans="2:2" x14ac:dyDescent="0.3">
      <c r="B204" s="31"/>
    </row>
    <row r="205" spans="2:2" x14ac:dyDescent="0.3">
      <c r="B205" s="31"/>
    </row>
    <row r="206" spans="2:2" x14ac:dyDescent="0.3">
      <c r="B206" s="31"/>
    </row>
    <row r="207" spans="2:2" x14ac:dyDescent="0.3">
      <c r="B207" s="31"/>
    </row>
    <row r="208" spans="2:2" x14ac:dyDescent="0.3">
      <c r="B208" s="31"/>
    </row>
    <row r="209" spans="2:2" x14ac:dyDescent="0.3">
      <c r="B209" s="31"/>
    </row>
    <row r="210" spans="2:2" x14ac:dyDescent="0.3">
      <c r="B210" s="31"/>
    </row>
    <row r="211" spans="2:2" x14ac:dyDescent="0.3">
      <c r="B211" s="31"/>
    </row>
    <row r="212" spans="2:2" x14ac:dyDescent="0.3">
      <c r="B212" s="31"/>
    </row>
    <row r="213" spans="2:2" x14ac:dyDescent="0.3">
      <c r="B213" s="31"/>
    </row>
    <row r="214" spans="2:2" x14ac:dyDescent="0.3">
      <c r="B214" s="31"/>
    </row>
    <row r="215" spans="2:2" x14ac:dyDescent="0.3">
      <c r="B215" s="31"/>
    </row>
    <row r="216" spans="2:2" x14ac:dyDescent="0.3">
      <c r="B216" s="31"/>
    </row>
    <row r="217" spans="2:2" x14ac:dyDescent="0.3">
      <c r="B217" s="31"/>
    </row>
    <row r="218" spans="2:2" x14ac:dyDescent="0.3">
      <c r="B218" s="31"/>
    </row>
    <row r="219" spans="2:2" x14ac:dyDescent="0.3">
      <c r="B219" s="31"/>
    </row>
    <row r="220" spans="2:2" x14ac:dyDescent="0.3">
      <c r="B220" s="31"/>
    </row>
    <row r="221" spans="2:2" x14ac:dyDescent="0.3">
      <c r="B221" s="31"/>
    </row>
    <row r="222" spans="2:2" x14ac:dyDescent="0.3">
      <c r="B222" s="31"/>
    </row>
    <row r="223" spans="2:2" x14ac:dyDescent="0.3">
      <c r="B223" s="31"/>
    </row>
    <row r="224" spans="2:2" x14ac:dyDescent="0.3">
      <c r="B224" s="31"/>
    </row>
    <row r="225" spans="2:2" x14ac:dyDescent="0.3">
      <c r="B225" s="31"/>
    </row>
    <row r="226" spans="2:2" x14ac:dyDescent="0.3">
      <c r="B226" s="31"/>
    </row>
    <row r="227" spans="2:2" x14ac:dyDescent="0.3">
      <c r="B227" s="31"/>
    </row>
    <row r="228" spans="2:2" x14ac:dyDescent="0.3">
      <c r="B228" s="31"/>
    </row>
    <row r="229" spans="2:2" x14ac:dyDescent="0.3">
      <c r="B229" s="31"/>
    </row>
    <row r="230" spans="2:2" x14ac:dyDescent="0.3">
      <c r="B230" s="31"/>
    </row>
    <row r="231" spans="2:2" x14ac:dyDescent="0.3">
      <c r="B231" s="31"/>
    </row>
    <row r="232" spans="2:2" x14ac:dyDescent="0.3">
      <c r="B232" s="31"/>
    </row>
    <row r="233" spans="2:2" x14ac:dyDescent="0.3">
      <c r="B233" s="31"/>
    </row>
    <row r="234" spans="2:2" x14ac:dyDescent="0.3">
      <c r="B234" s="31"/>
    </row>
    <row r="235" spans="2:2" x14ac:dyDescent="0.3">
      <c r="B235" s="31"/>
    </row>
    <row r="236" spans="2:2" x14ac:dyDescent="0.3">
      <c r="B236" s="31"/>
    </row>
    <row r="237" spans="2:2" x14ac:dyDescent="0.3">
      <c r="B237" s="31"/>
    </row>
    <row r="238" spans="2:2" x14ac:dyDescent="0.3">
      <c r="B238" s="31"/>
    </row>
    <row r="239" spans="2:2" x14ac:dyDescent="0.3">
      <c r="B239" s="31"/>
    </row>
    <row r="240" spans="2:2" x14ac:dyDescent="0.3">
      <c r="B240" s="31"/>
    </row>
    <row r="241" spans="2:2" x14ac:dyDescent="0.3">
      <c r="B241" s="31"/>
    </row>
    <row r="242" spans="2:2" x14ac:dyDescent="0.3">
      <c r="B242" s="31"/>
    </row>
    <row r="243" spans="2:2" x14ac:dyDescent="0.3">
      <c r="B243" s="31"/>
    </row>
    <row r="244" spans="2:2" x14ac:dyDescent="0.3">
      <c r="B244" s="31"/>
    </row>
    <row r="245" spans="2:2" x14ac:dyDescent="0.3">
      <c r="B245" s="31"/>
    </row>
    <row r="246" spans="2:2" x14ac:dyDescent="0.3">
      <c r="B246" s="31"/>
    </row>
    <row r="247" spans="2:2" x14ac:dyDescent="0.3">
      <c r="B247" s="31"/>
    </row>
    <row r="248" spans="2:2" x14ac:dyDescent="0.3">
      <c r="B248" s="31"/>
    </row>
    <row r="249" spans="2:2" x14ac:dyDescent="0.3">
      <c r="B249" s="31"/>
    </row>
    <row r="250" spans="2:2" x14ac:dyDescent="0.3">
      <c r="B250" s="31"/>
    </row>
    <row r="251" spans="2:2" x14ac:dyDescent="0.3">
      <c r="B251" s="31"/>
    </row>
    <row r="252" spans="2:2" x14ac:dyDescent="0.3">
      <c r="B252" s="31"/>
    </row>
    <row r="253" spans="2:2" x14ac:dyDescent="0.3">
      <c r="B253" s="31"/>
    </row>
    <row r="254" spans="2:2" x14ac:dyDescent="0.3">
      <c r="B254" s="31"/>
    </row>
    <row r="255" spans="2:2" x14ac:dyDescent="0.3">
      <c r="B255" s="31"/>
    </row>
    <row r="256" spans="2:2" x14ac:dyDescent="0.3">
      <c r="B256" s="31"/>
    </row>
    <row r="257" spans="2:2" x14ac:dyDescent="0.3">
      <c r="B257" s="31"/>
    </row>
    <row r="258" spans="2:2" x14ac:dyDescent="0.3">
      <c r="B258" s="31"/>
    </row>
    <row r="259" spans="2:2" x14ac:dyDescent="0.3">
      <c r="B259" s="31"/>
    </row>
    <row r="260" spans="2:2" x14ac:dyDescent="0.3">
      <c r="B260" s="31"/>
    </row>
    <row r="261" spans="2:2" x14ac:dyDescent="0.3">
      <c r="B261" s="31"/>
    </row>
    <row r="262" spans="2:2" x14ac:dyDescent="0.3">
      <c r="B262" s="31"/>
    </row>
    <row r="263" spans="2:2" x14ac:dyDescent="0.3">
      <c r="B263" s="31"/>
    </row>
    <row r="264" spans="2:2" x14ac:dyDescent="0.3">
      <c r="B264" s="31"/>
    </row>
    <row r="265" spans="2:2" x14ac:dyDescent="0.3">
      <c r="B265" s="31"/>
    </row>
    <row r="266" spans="2:2" x14ac:dyDescent="0.3">
      <c r="B266" s="31"/>
    </row>
    <row r="267" spans="2:2" x14ac:dyDescent="0.3">
      <c r="B267" s="31"/>
    </row>
    <row r="268" spans="2:2" x14ac:dyDescent="0.3">
      <c r="B268" s="31"/>
    </row>
    <row r="269" spans="2:2" x14ac:dyDescent="0.3">
      <c r="B269" s="31"/>
    </row>
    <row r="270" spans="2:2" x14ac:dyDescent="0.3">
      <c r="B270" s="31"/>
    </row>
    <row r="271" spans="2:2" x14ac:dyDescent="0.3">
      <c r="B271" s="31"/>
    </row>
    <row r="272" spans="2:2" x14ac:dyDescent="0.3">
      <c r="B272" s="31"/>
    </row>
    <row r="273" spans="2:2" x14ac:dyDescent="0.3">
      <c r="B273" s="31"/>
    </row>
    <row r="274" spans="2:2" x14ac:dyDescent="0.3">
      <c r="B274" s="31"/>
    </row>
    <row r="275" spans="2:2" x14ac:dyDescent="0.3">
      <c r="B275" s="31"/>
    </row>
    <row r="276" spans="2:2" x14ac:dyDescent="0.3">
      <c r="B276" s="31"/>
    </row>
    <row r="277" spans="2:2" x14ac:dyDescent="0.3">
      <c r="B277" s="31"/>
    </row>
    <row r="278" spans="2:2" x14ac:dyDescent="0.3">
      <c r="B278" s="31"/>
    </row>
    <row r="279" spans="2:2" x14ac:dyDescent="0.3">
      <c r="B279" s="31"/>
    </row>
    <row r="280" spans="2:2" x14ac:dyDescent="0.3">
      <c r="B280" s="31"/>
    </row>
    <row r="281" spans="2:2" x14ac:dyDescent="0.3">
      <c r="B281" s="31"/>
    </row>
    <row r="282" spans="2:2" x14ac:dyDescent="0.3">
      <c r="B282" s="31"/>
    </row>
    <row r="283" spans="2:2" x14ac:dyDescent="0.3">
      <c r="B283" s="31"/>
    </row>
    <row r="284" spans="2:2" x14ac:dyDescent="0.3">
      <c r="B284" s="31"/>
    </row>
    <row r="285" spans="2:2" x14ac:dyDescent="0.3">
      <c r="B285" s="31"/>
    </row>
    <row r="286" spans="2:2" x14ac:dyDescent="0.3">
      <c r="B286" s="31"/>
    </row>
    <row r="287" spans="2:2" x14ac:dyDescent="0.3">
      <c r="B287" s="31"/>
    </row>
    <row r="288" spans="2:2" x14ac:dyDescent="0.3">
      <c r="B288" s="31"/>
    </row>
    <row r="289" spans="2:2" x14ac:dyDescent="0.3">
      <c r="B289" s="31"/>
    </row>
    <row r="290" spans="2:2" x14ac:dyDescent="0.3">
      <c r="B290" s="31"/>
    </row>
    <row r="291" spans="2:2" x14ac:dyDescent="0.3">
      <c r="B291" s="31"/>
    </row>
    <row r="292" spans="2:2" x14ac:dyDescent="0.3">
      <c r="B292" s="31"/>
    </row>
    <row r="293" spans="2:2" x14ac:dyDescent="0.3">
      <c r="B293" s="31"/>
    </row>
    <row r="294" spans="2:2" x14ac:dyDescent="0.3">
      <c r="B294" s="31"/>
    </row>
    <row r="295" spans="2:2" x14ac:dyDescent="0.3">
      <c r="B295" s="31"/>
    </row>
    <row r="296" spans="2:2" x14ac:dyDescent="0.3">
      <c r="B296" s="31"/>
    </row>
    <row r="297" spans="2:2" x14ac:dyDescent="0.3">
      <c r="B297" s="31"/>
    </row>
    <row r="298" spans="2:2" x14ac:dyDescent="0.3">
      <c r="B298" s="31"/>
    </row>
    <row r="299" spans="2:2" x14ac:dyDescent="0.3">
      <c r="B299" s="31"/>
    </row>
    <row r="300" spans="2:2" x14ac:dyDescent="0.3">
      <c r="B300" s="31"/>
    </row>
    <row r="301" spans="2:2" x14ac:dyDescent="0.3">
      <c r="B301" s="31"/>
    </row>
    <row r="302" spans="2:2" x14ac:dyDescent="0.3">
      <c r="B302" s="31"/>
    </row>
    <row r="303" spans="2:2" x14ac:dyDescent="0.3">
      <c r="B303" s="31"/>
    </row>
    <row r="304" spans="2:2" x14ac:dyDescent="0.3">
      <c r="B304" s="31"/>
    </row>
    <row r="305" spans="2:2" x14ac:dyDescent="0.3">
      <c r="B305" s="31"/>
    </row>
    <row r="306" spans="2:2" x14ac:dyDescent="0.3">
      <c r="B306" s="31"/>
    </row>
    <row r="307" spans="2:2" x14ac:dyDescent="0.3">
      <c r="B307" s="31"/>
    </row>
    <row r="308" spans="2:2" x14ac:dyDescent="0.3">
      <c r="B308" s="31"/>
    </row>
    <row r="309" spans="2:2" x14ac:dyDescent="0.3">
      <c r="B309" s="31"/>
    </row>
    <row r="310" spans="2:2" x14ac:dyDescent="0.3">
      <c r="B310" s="31"/>
    </row>
    <row r="311" spans="2:2" x14ac:dyDescent="0.3">
      <c r="B311" s="31"/>
    </row>
    <row r="312" spans="2:2" x14ac:dyDescent="0.3">
      <c r="B312" s="31"/>
    </row>
    <row r="313" spans="2:2" x14ac:dyDescent="0.3">
      <c r="B313" s="31"/>
    </row>
    <row r="314" spans="2:2" x14ac:dyDescent="0.3">
      <c r="B314" s="31"/>
    </row>
    <row r="315" spans="2:2" x14ac:dyDescent="0.3">
      <c r="B315" s="31"/>
    </row>
    <row r="316" spans="2:2" x14ac:dyDescent="0.3">
      <c r="B316" s="31"/>
    </row>
    <row r="317" spans="2:2" x14ac:dyDescent="0.3">
      <c r="B317" s="31"/>
    </row>
    <row r="318" spans="2:2" x14ac:dyDescent="0.3">
      <c r="B318" s="31"/>
    </row>
    <row r="319" spans="2:2" x14ac:dyDescent="0.3">
      <c r="B319" s="31"/>
    </row>
    <row r="320" spans="2:2" x14ac:dyDescent="0.3">
      <c r="B320" s="31"/>
    </row>
    <row r="321" spans="2:2" x14ac:dyDescent="0.3">
      <c r="B321" s="31"/>
    </row>
    <row r="322" spans="2:2" x14ac:dyDescent="0.3">
      <c r="B322" s="31"/>
    </row>
    <row r="323" spans="2:2" x14ac:dyDescent="0.3">
      <c r="B323" s="31"/>
    </row>
    <row r="324" spans="2:2" x14ac:dyDescent="0.3">
      <c r="B324" s="31"/>
    </row>
    <row r="325" spans="2:2" x14ac:dyDescent="0.3">
      <c r="B325" s="31"/>
    </row>
    <row r="326" spans="2:2" x14ac:dyDescent="0.3">
      <c r="B326" s="31"/>
    </row>
    <row r="327" spans="2:2" x14ac:dyDescent="0.3">
      <c r="B327" s="31"/>
    </row>
    <row r="328" spans="2:2" x14ac:dyDescent="0.3">
      <c r="B328" s="31"/>
    </row>
    <row r="329" spans="2:2" x14ac:dyDescent="0.3">
      <c r="B329" s="31"/>
    </row>
    <row r="330" spans="2:2" x14ac:dyDescent="0.3">
      <c r="B330" s="31"/>
    </row>
    <row r="331" spans="2:2" x14ac:dyDescent="0.3">
      <c r="B331" s="31"/>
    </row>
    <row r="332" spans="2:2" x14ac:dyDescent="0.3">
      <c r="B332" s="31"/>
    </row>
    <row r="333" spans="2:2" x14ac:dyDescent="0.3">
      <c r="B333" s="31"/>
    </row>
    <row r="334" spans="2:2" x14ac:dyDescent="0.3">
      <c r="B334" s="31"/>
    </row>
    <row r="335" spans="2:2" x14ac:dyDescent="0.3">
      <c r="B335" s="31"/>
    </row>
    <row r="336" spans="2:2" x14ac:dyDescent="0.3">
      <c r="B336" s="31"/>
    </row>
    <row r="337" spans="2:2" x14ac:dyDescent="0.3">
      <c r="B337" s="31"/>
    </row>
    <row r="338" spans="2:2" x14ac:dyDescent="0.3">
      <c r="B338" s="31"/>
    </row>
    <row r="339" spans="2:2" x14ac:dyDescent="0.3">
      <c r="B339" s="31"/>
    </row>
    <row r="340" spans="2:2" x14ac:dyDescent="0.3">
      <c r="B340" s="31"/>
    </row>
    <row r="341" spans="2:2" x14ac:dyDescent="0.3">
      <c r="B341" s="31"/>
    </row>
    <row r="342" spans="2:2" x14ac:dyDescent="0.3">
      <c r="B342" s="31"/>
    </row>
    <row r="343" spans="2:2" x14ac:dyDescent="0.3">
      <c r="B343" s="31"/>
    </row>
    <row r="344" spans="2:2" x14ac:dyDescent="0.3">
      <c r="B344" s="31"/>
    </row>
    <row r="345" spans="2:2" x14ac:dyDescent="0.3">
      <c r="B345" s="31"/>
    </row>
    <row r="346" spans="2:2" x14ac:dyDescent="0.3">
      <c r="B346" s="31"/>
    </row>
    <row r="347" spans="2:2" x14ac:dyDescent="0.3">
      <c r="B347" s="31"/>
    </row>
    <row r="348" spans="2:2" x14ac:dyDescent="0.3">
      <c r="B348" s="31"/>
    </row>
    <row r="349" spans="2:2" x14ac:dyDescent="0.3">
      <c r="B349" s="31"/>
    </row>
    <row r="350" spans="2:2" x14ac:dyDescent="0.3">
      <c r="B350" s="31"/>
    </row>
    <row r="351" spans="2:2" x14ac:dyDescent="0.3">
      <c r="B351" s="31"/>
    </row>
    <row r="352" spans="2:2" x14ac:dyDescent="0.3">
      <c r="B352" s="31"/>
    </row>
    <row r="353" spans="2:2" x14ac:dyDescent="0.3">
      <c r="B353" s="31"/>
    </row>
    <row r="354" spans="2:2" x14ac:dyDescent="0.3">
      <c r="B354" s="31"/>
    </row>
    <row r="355" spans="2:2" x14ac:dyDescent="0.3">
      <c r="B355" s="31"/>
    </row>
    <row r="356" spans="2:2" x14ac:dyDescent="0.3">
      <c r="B356" s="31"/>
    </row>
    <row r="357" spans="2:2" x14ac:dyDescent="0.3">
      <c r="B357" s="31"/>
    </row>
    <row r="358" spans="2:2" x14ac:dyDescent="0.3">
      <c r="B358" s="31"/>
    </row>
    <row r="359" spans="2:2" x14ac:dyDescent="0.3">
      <c r="B359" s="31"/>
    </row>
    <row r="360" spans="2:2" x14ac:dyDescent="0.3">
      <c r="B360" s="31"/>
    </row>
    <row r="361" spans="2:2" x14ac:dyDescent="0.3">
      <c r="B361" s="31"/>
    </row>
    <row r="362" spans="2:2" x14ac:dyDescent="0.3">
      <c r="B362" s="31"/>
    </row>
    <row r="363" spans="2:2" x14ac:dyDescent="0.3">
      <c r="B363" s="31"/>
    </row>
    <row r="364" spans="2:2" x14ac:dyDescent="0.3">
      <c r="B364" s="31"/>
    </row>
    <row r="365" spans="2:2" x14ac:dyDescent="0.3">
      <c r="B365" s="31"/>
    </row>
    <row r="366" spans="2:2" x14ac:dyDescent="0.3">
      <c r="B366" s="31"/>
    </row>
    <row r="367" spans="2:2" x14ac:dyDescent="0.3">
      <c r="B367" s="31"/>
    </row>
    <row r="368" spans="2:2" x14ac:dyDescent="0.3">
      <c r="B368" s="31"/>
    </row>
    <row r="369" spans="2:2" x14ac:dyDescent="0.3">
      <c r="B369" s="31"/>
    </row>
    <row r="370" spans="2:2" x14ac:dyDescent="0.3">
      <c r="B370" s="31"/>
    </row>
    <row r="371" spans="2:2" x14ac:dyDescent="0.3">
      <c r="B371" s="31"/>
    </row>
    <row r="372" spans="2:2" x14ac:dyDescent="0.3">
      <c r="B372" s="31"/>
    </row>
    <row r="373" spans="2:2" x14ac:dyDescent="0.3">
      <c r="B373" s="31"/>
    </row>
    <row r="374" spans="2:2" x14ac:dyDescent="0.3">
      <c r="B374" s="31"/>
    </row>
    <row r="375" spans="2:2" x14ac:dyDescent="0.3">
      <c r="B375" s="31"/>
    </row>
    <row r="376" spans="2:2" x14ac:dyDescent="0.3">
      <c r="B376" s="31"/>
    </row>
    <row r="377" spans="2:2" x14ac:dyDescent="0.3">
      <c r="B377" s="31"/>
    </row>
    <row r="378" spans="2:2" x14ac:dyDescent="0.3">
      <c r="B378" s="31"/>
    </row>
    <row r="379" spans="2:2" x14ac:dyDescent="0.3">
      <c r="B379" s="31"/>
    </row>
    <row r="380" spans="2:2" x14ac:dyDescent="0.3">
      <c r="B380" s="31"/>
    </row>
    <row r="381" spans="2:2" x14ac:dyDescent="0.3">
      <c r="B381" s="31"/>
    </row>
    <row r="382" spans="2:2" x14ac:dyDescent="0.3">
      <c r="B382" s="31"/>
    </row>
    <row r="383" spans="2:2" x14ac:dyDescent="0.3">
      <c r="B383" s="31"/>
    </row>
    <row r="384" spans="2:2" x14ac:dyDescent="0.3">
      <c r="B384" s="31"/>
    </row>
    <row r="385" spans="2:2" x14ac:dyDescent="0.3">
      <c r="B385" s="31"/>
    </row>
    <row r="386" spans="2:2" x14ac:dyDescent="0.3">
      <c r="B386" s="31"/>
    </row>
    <row r="387" spans="2:2" x14ac:dyDescent="0.3">
      <c r="B387" s="31"/>
    </row>
    <row r="388" spans="2:2" x14ac:dyDescent="0.3">
      <c r="B388" s="31"/>
    </row>
    <row r="389" spans="2:2" x14ac:dyDescent="0.3">
      <c r="B389" s="31"/>
    </row>
    <row r="390" spans="2:2" x14ac:dyDescent="0.3">
      <c r="B390" s="31"/>
    </row>
    <row r="391" spans="2:2" x14ac:dyDescent="0.3">
      <c r="B391" s="31"/>
    </row>
    <row r="392" spans="2:2" x14ac:dyDescent="0.3">
      <c r="B392" s="31"/>
    </row>
    <row r="393" spans="2:2" x14ac:dyDescent="0.3">
      <c r="B393" s="31"/>
    </row>
    <row r="394" spans="2:2" x14ac:dyDescent="0.3">
      <c r="B394" s="31"/>
    </row>
    <row r="395" spans="2:2" x14ac:dyDescent="0.3">
      <c r="B395" s="31"/>
    </row>
    <row r="396" spans="2:2" x14ac:dyDescent="0.3">
      <c r="B396" s="31"/>
    </row>
    <row r="397" spans="2:2" x14ac:dyDescent="0.3">
      <c r="B397" s="31"/>
    </row>
    <row r="398" spans="2:2" x14ac:dyDescent="0.3">
      <c r="B398" s="31"/>
    </row>
    <row r="399" spans="2:2" x14ac:dyDescent="0.3">
      <c r="B399" s="31"/>
    </row>
    <row r="400" spans="2:2" x14ac:dyDescent="0.3">
      <c r="B400" s="31"/>
    </row>
    <row r="401" spans="2:2" x14ac:dyDescent="0.3">
      <c r="B401" s="31"/>
    </row>
    <row r="402" spans="2:2" x14ac:dyDescent="0.3">
      <c r="B402" s="31"/>
    </row>
    <row r="403" spans="2:2" x14ac:dyDescent="0.3">
      <c r="B403" s="31"/>
    </row>
    <row r="404" spans="2:2" x14ac:dyDescent="0.3">
      <c r="B404" s="31"/>
    </row>
    <row r="405" spans="2:2" x14ac:dyDescent="0.3">
      <c r="B405" s="31"/>
    </row>
    <row r="406" spans="2:2" x14ac:dyDescent="0.3">
      <c r="B406" s="31"/>
    </row>
    <row r="407" spans="2:2" x14ac:dyDescent="0.3">
      <c r="B407" s="31"/>
    </row>
    <row r="408" spans="2:2" x14ac:dyDescent="0.3">
      <c r="B408" s="31"/>
    </row>
    <row r="409" spans="2:2" x14ac:dyDescent="0.3">
      <c r="B409" s="31"/>
    </row>
    <row r="410" spans="2:2" x14ac:dyDescent="0.3">
      <c r="B410" s="31"/>
    </row>
    <row r="411" spans="2:2" x14ac:dyDescent="0.3">
      <c r="B411" s="31"/>
    </row>
    <row r="412" spans="2:2" x14ac:dyDescent="0.3">
      <c r="B412" s="31"/>
    </row>
    <row r="413" spans="2:2" x14ac:dyDescent="0.3">
      <c r="B413" s="31"/>
    </row>
    <row r="414" spans="2:2" x14ac:dyDescent="0.3">
      <c r="B414" s="31"/>
    </row>
    <row r="415" spans="2:2" x14ac:dyDescent="0.3">
      <c r="B415" s="31"/>
    </row>
    <row r="416" spans="2:2" x14ac:dyDescent="0.3">
      <c r="B416" s="31"/>
    </row>
    <row r="417" spans="2:2" x14ac:dyDescent="0.3">
      <c r="B417" s="31"/>
    </row>
    <row r="418" spans="2:2" x14ac:dyDescent="0.3">
      <c r="B418" s="31"/>
    </row>
    <row r="419" spans="2:2" x14ac:dyDescent="0.3">
      <c r="B419" s="31"/>
    </row>
    <row r="420" spans="2:2" x14ac:dyDescent="0.3">
      <c r="B420" s="31"/>
    </row>
    <row r="421" spans="2:2" x14ac:dyDescent="0.3">
      <c r="B421" s="31"/>
    </row>
    <row r="422" spans="2:2" x14ac:dyDescent="0.3">
      <c r="B422" s="31"/>
    </row>
    <row r="423" spans="2:2" x14ac:dyDescent="0.3">
      <c r="B423" s="31"/>
    </row>
    <row r="424" spans="2:2" x14ac:dyDescent="0.3">
      <c r="B424" s="31"/>
    </row>
    <row r="425" spans="2:2" x14ac:dyDescent="0.3">
      <c r="B425" s="31"/>
    </row>
    <row r="426" spans="2:2" x14ac:dyDescent="0.3">
      <c r="B426" s="31"/>
    </row>
    <row r="427" spans="2:2" x14ac:dyDescent="0.3">
      <c r="B427" s="31"/>
    </row>
    <row r="428" spans="2:2" x14ac:dyDescent="0.3">
      <c r="B428" s="31"/>
    </row>
    <row r="429" spans="2:2" x14ac:dyDescent="0.3">
      <c r="B429" s="31"/>
    </row>
    <row r="430" spans="2:2" x14ac:dyDescent="0.3">
      <c r="B430" s="31"/>
    </row>
    <row r="431" spans="2:2" x14ac:dyDescent="0.3">
      <c r="B431" s="31"/>
    </row>
    <row r="432" spans="2:2" x14ac:dyDescent="0.3">
      <c r="B432" s="31"/>
    </row>
    <row r="433" spans="2:2" x14ac:dyDescent="0.3">
      <c r="B433" s="31"/>
    </row>
    <row r="434" spans="2:2" x14ac:dyDescent="0.3">
      <c r="B434" s="31"/>
    </row>
    <row r="435" spans="2:2" x14ac:dyDescent="0.3">
      <c r="B435" s="31"/>
    </row>
    <row r="436" spans="2:2" x14ac:dyDescent="0.3">
      <c r="B436" s="31"/>
    </row>
    <row r="437" spans="2:2" x14ac:dyDescent="0.3">
      <c r="B437" s="31"/>
    </row>
    <row r="438" spans="2:2" x14ac:dyDescent="0.3">
      <c r="B438" s="31"/>
    </row>
    <row r="439" spans="2:2" x14ac:dyDescent="0.3">
      <c r="B439" s="31"/>
    </row>
    <row r="440" spans="2:2" x14ac:dyDescent="0.3">
      <c r="B440" s="31"/>
    </row>
    <row r="441" spans="2:2" x14ac:dyDescent="0.3">
      <c r="B441" s="31"/>
    </row>
    <row r="442" spans="2:2" x14ac:dyDescent="0.3">
      <c r="B442" s="31"/>
    </row>
    <row r="443" spans="2:2" x14ac:dyDescent="0.3">
      <c r="B443" s="31"/>
    </row>
    <row r="444" spans="2:2" x14ac:dyDescent="0.3">
      <c r="B444" s="31"/>
    </row>
    <row r="445" spans="2:2" x14ac:dyDescent="0.3">
      <c r="B445" s="31"/>
    </row>
    <row r="446" spans="2:2" x14ac:dyDescent="0.3">
      <c r="B446" s="31"/>
    </row>
    <row r="447" spans="2:2" x14ac:dyDescent="0.3">
      <c r="B447" s="31"/>
    </row>
    <row r="448" spans="2:2" x14ac:dyDescent="0.3">
      <c r="B448" s="31"/>
    </row>
    <row r="449" spans="2:2" x14ac:dyDescent="0.3">
      <c r="B449" s="31"/>
    </row>
    <row r="450" spans="2:2" x14ac:dyDescent="0.3">
      <c r="B450" s="31"/>
    </row>
    <row r="451" spans="2:2" x14ac:dyDescent="0.3">
      <c r="B451" s="31"/>
    </row>
    <row r="452" spans="2:2" x14ac:dyDescent="0.3">
      <c r="B452" s="31"/>
    </row>
    <row r="453" spans="2:2" x14ac:dyDescent="0.3">
      <c r="B453" s="31"/>
    </row>
    <row r="454" spans="2:2" x14ac:dyDescent="0.3">
      <c r="B454" s="31"/>
    </row>
    <row r="455" spans="2:2" x14ac:dyDescent="0.3">
      <c r="B455" s="31"/>
    </row>
    <row r="456" spans="2:2" x14ac:dyDescent="0.3">
      <c r="B456" s="31"/>
    </row>
    <row r="457" spans="2:2" x14ac:dyDescent="0.3">
      <c r="B457" s="31"/>
    </row>
    <row r="458" spans="2:2" x14ac:dyDescent="0.3">
      <c r="B458" s="31"/>
    </row>
    <row r="459" spans="2:2" x14ac:dyDescent="0.3">
      <c r="B459" s="31"/>
    </row>
    <row r="460" spans="2:2" x14ac:dyDescent="0.3">
      <c r="B460" s="31"/>
    </row>
    <row r="461" spans="2:2" x14ac:dyDescent="0.3">
      <c r="B461" s="31"/>
    </row>
    <row r="462" spans="2:2" x14ac:dyDescent="0.3">
      <c r="B462" s="31"/>
    </row>
    <row r="463" spans="2:2" x14ac:dyDescent="0.3">
      <c r="B463" s="31"/>
    </row>
    <row r="464" spans="2:2" x14ac:dyDescent="0.3">
      <c r="B464" s="31"/>
    </row>
    <row r="465" spans="2:2" x14ac:dyDescent="0.3">
      <c r="B465" s="31"/>
    </row>
    <row r="466" spans="2:2" x14ac:dyDescent="0.3">
      <c r="B466" s="31"/>
    </row>
    <row r="467" spans="2:2" x14ac:dyDescent="0.3">
      <c r="B467" s="31"/>
    </row>
    <row r="468" spans="2:2" x14ac:dyDescent="0.3">
      <c r="B468" s="31"/>
    </row>
    <row r="469" spans="2:2" x14ac:dyDescent="0.3">
      <c r="B469" s="31"/>
    </row>
    <row r="470" spans="2:2" x14ac:dyDescent="0.3">
      <c r="B470" s="31"/>
    </row>
    <row r="471" spans="2:2" x14ac:dyDescent="0.3">
      <c r="B471" s="31"/>
    </row>
    <row r="472" spans="2:2" x14ac:dyDescent="0.3">
      <c r="B472" s="31"/>
    </row>
    <row r="473" spans="2:2" x14ac:dyDescent="0.3">
      <c r="B473" s="31"/>
    </row>
    <row r="474" spans="2:2" x14ac:dyDescent="0.3">
      <c r="B474" s="31"/>
    </row>
    <row r="475" spans="2:2" x14ac:dyDescent="0.3">
      <c r="B475" s="31"/>
    </row>
    <row r="476" spans="2:2" x14ac:dyDescent="0.3">
      <c r="B476" s="31"/>
    </row>
    <row r="477" spans="2:2" x14ac:dyDescent="0.3">
      <c r="B477" s="31"/>
    </row>
    <row r="478" spans="2:2" x14ac:dyDescent="0.3">
      <c r="B478" s="31"/>
    </row>
    <row r="479" spans="2:2" x14ac:dyDescent="0.3">
      <c r="B479" s="31"/>
    </row>
    <row r="480" spans="2:2" x14ac:dyDescent="0.3">
      <c r="B480" s="31"/>
    </row>
    <row r="481" spans="2:2" x14ac:dyDescent="0.3">
      <c r="B481" s="31"/>
    </row>
    <row r="482" spans="2:2" x14ac:dyDescent="0.3">
      <c r="B482" s="31"/>
    </row>
    <row r="483" spans="2:2" x14ac:dyDescent="0.3">
      <c r="B483" s="31"/>
    </row>
    <row r="484" spans="2:2" x14ac:dyDescent="0.3">
      <c r="B484" s="31"/>
    </row>
    <row r="485" spans="2:2" x14ac:dyDescent="0.3">
      <c r="B485" s="31"/>
    </row>
    <row r="486" spans="2:2" x14ac:dyDescent="0.3">
      <c r="B486" s="31"/>
    </row>
    <row r="487" spans="2:2" x14ac:dyDescent="0.3">
      <c r="B487" s="31"/>
    </row>
    <row r="488" spans="2:2" x14ac:dyDescent="0.3">
      <c r="B488" s="31"/>
    </row>
    <row r="489" spans="2:2" x14ac:dyDescent="0.3">
      <c r="B489" s="31"/>
    </row>
    <row r="490" spans="2:2" x14ac:dyDescent="0.3">
      <c r="B490" s="31"/>
    </row>
    <row r="491" spans="2:2" x14ac:dyDescent="0.3">
      <c r="B491" s="31"/>
    </row>
    <row r="492" spans="2:2" x14ac:dyDescent="0.3">
      <c r="B492" s="31"/>
    </row>
    <row r="493" spans="2:2" x14ac:dyDescent="0.3">
      <c r="B493" s="31"/>
    </row>
    <row r="494" spans="2:2" x14ac:dyDescent="0.3">
      <c r="B494" s="31"/>
    </row>
    <row r="495" spans="2:2" x14ac:dyDescent="0.3">
      <c r="B495" s="31"/>
    </row>
    <row r="496" spans="2:2" x14ac:dyDescent="0.3">
      <c r="B496" s="31"/>
    </row>
    <row r="497" spans="2:2" x14ac:dyDescent="0.3">
      <c r="B497" s="31"/>
    </row>
    <row r="498" spans="2:2" x14ac:dyDescent="0.3">
      <c r="B498" s="31"/>
    </row>
    <row r="499" spans="2:2" x14ac:dyDescent="0.3">
      <c r="B499" s="31"/>
    </row>
    <row r="500" spans="2:2" x14ac:dyDescent="0.3">
      <c r="B500" s="31"/>
    </row>
    <row r="501" spans="2:2" x14ac:dyDescent="0.3">
      <c r="B501" s="31"/>
    </row>
    <row r="502" spans="2:2" x14ac:dyDescent="0.3">
      <c r="B502" s="31"/>
    </row>
    <row r="503" spans="2:2" x14ac:dyDescent="0.3">
      <c r="B503" s="31"/>
    </row>
    <row r="504" spans="2:2" x14ac:dyDescent="0.3">
      <c r="B504" s="31"/>
    </row>
    <row r="505" spans="2:2" x14ac:dyDescent="0.3">
      <c r="B505" s="31"/>
    </row>
    <row r="506" spans="2:2" x14ac:dyDescent="0.3">
      <c r="B506" s="31"/>
    </row>
    <row r="507" spans="2:2" x14ac:dyDescent="0.3">
      <c r="B507" s="31"/>
    </row>
    <row r="508" spans="2:2" x14ac:dyDescent="0.3">
      <c r="B508" s="31"/>
    </row>
    <row r="509" spans="2:2" x14ac:dyDescent="0.3">
      <c r="B509" s="31"/>
    </row>
    <row r="510" spans="2:2" x14ac:dyDescent="0.3">
      <c r="B510" s="31"/>
    </row>
    <row r="511" spans="2:2" x14ac:dyDescent="0.3">
      <c r="B511" s="31"/>
    </row>
    <row r="512" spans="2:2" x14ac:dyDescent="0.3">
      <c r="B512" s="31"/>
    </row>
    <row r="513" spans="2:2" x14ac:dyDescent="0.3">
      <c r="B513" s="31"/>
    </row>
    <row r="514" spans="2:2" x14ac:dyDescent="0.3">
      <c r="B514" s="31"/>
    </row>
    <row r="515" spans="2:2" x14ac:dyDescent="0.3">
      <c r="B515" s="31"/>
    </row>
    <row r="516" spans="2:2" x14ac:dyDescent="0.3">
      <c r="B516" s="31"/>
    </row>
    <row r="517" spans="2:2" x14ac:dyDescent="0.3">
      <c r="B517" s="31"/>
    </row>
    <row r="518" spans="2:2" x14ac:dyDescent="0.3">
      <c r="B518" s="31"/>
    </row>
    <row r="519" spans="2:2" x14ac:dyDescent="0.3">
      <c r="B519" s="31"/>
    </row>
    <row r="520" spans="2:2" x14ac:dyDescent="0.3">
      <c r="B520" s="31"/>
    </row>
    <row r="521" spans="2:2" x14ac:dyDescent="0.3">
      <c r="B521" s="31"/>
    </row>
    <row r="522" spans="2:2" x14ac:dyDescent="0.3">
      <c r="B522" s="31"/>
    </row>
    <row r="523" spans="2:2" x14ac:dyDescent="0.3">
      <c r="B523" s="31"/>
    </row>
    <row r="524" spans="2:2" x14ac:dyDescent="0.3">
      <c r="B524" s="31"/>
    </row>
    <row r="525" spans="2:2" x14ac:dyDescent="0.3">
      <c r="B525" s="31"/>
    </row>
    <row r="526" spans="2:2" x14ac:dyDescent="0.3">
      <c r="B526" s="31"/>
    </row>
    <row r="527" spans="2:2" x14ac:dyDescent="0.3">
      <c r="B527" s="31"/>
    </row>
    <row r="528" spans="2:2" x14ac:dyDescent="0.3">
      <c r="B528" s="31"/>
    </row>
    <row r="529" spans="2:2" x14ac:dyDescent="0.3">
      <c r="B529" s="31"/>
    </row>
    <row r="530" spans="2:2" x14ac:dyDescent="0.3">
      <c r="B530" s="31"/>
    </row>
    <row r="531" spans="2:2" x14ac:dyDescent="0.3">
      <c r="B531" s="31"/>
    </row>
    <row r="532" spans="2:2" x14ac:dyDescent="0.3">
      <c r="B532" s="31"/>
    </row>
    <row r="533" spans="2:2" x14ac:dyDescent="0.3">
      <c r="B533" s="31"/>
    </row>
    <row r="534" spans="2:2" x14ac:dyDescent="0.3">
      <c r="B534" s="31"/>
    </row>
    <row r="535" spans="2:2" x14ac:dyDescent="0.3">
      <c r="B535" s="31"/>
    </row>
    <row r="536" spans="2:2" x14ac:dyDescent="0.3">
      <c r="B536" s="31"/>
    </row>
    <row r="537" spans="2:2" x14ac:dyDescent="0.3">
      <c r="B537" s="31"/>
    </row>
    <row r="538" spans="2:2" x14ac:dyDescent="0.3">
      <c r="B538" s="31"/>
    </row>
    <row r="539" spans="2:2" x14ac:dyDescent="0.3">
      <c r="B539" s="31"/>
    </row>
    <row r="540" spans="2:2" x14ac:dyDescent="0.3">
      <c r="B540" s="31"/>
    </row>
    <row r="541" spans="2:2" x14ac:dyDescent="0.3">
      <c r="B541" s="31"/>
    </row>
    <row r="542" spans="2:2" x14ac:dyDescent="0.3">
      <c r="B542" s="31"/>
    </row>
    <row r="543" spans="2:2" x14ac:dyDescent="0.3">
      <c r="B543" s="31"/>
    </row>
    <row r="544" spans="2:2" x14ac:dyDescent="0.3">
      <c r="B544" s="31"/>
    </row>
    <row r="545" spans="2:2" x14ac:dyDescent="0.3">
      <c r="B545" s="31"/>
    </row>
    <row r="546" spans="2:2" x14ac:dyDescent="0.3">
      <c r="B546" s="31"/>
    </row>
    <row r="547" spans="2:2" x14ac:dyDescent="0.3">
      <c r="B547" s="31"/>
    </row>
    <row r="548" spans="2:2" x14ac:dyDescent="0.3">
      <c r="B548" s="31"/>
    </row>
    <row r="549" spans="2:2" x14ac:dyDescent="0.3">
      <c r="B549" s="31"/>
    </row>
    <row r="550" spans="2:2" x14ac:dyDescent="0.3">
      <c r="B550" s="31"/>
    </row>
    <row r="551" spans="2:2" x14ac:dyDescent="0.3">
      <c r="B551" s="31"/>
    </row>
    <row r="552" spans="2:2" x14ac:dyDescent="0.3">
      <c r="B552" s="31"/>
    </row>
    <row r="553" spans="2:2" x14ac:dyDescent="0.3">
      <c r="B553" s="31"/>
    </row>
    <row r="554" spans="2:2" x14ac:dyDescent="0.3">
      <c r="B554" s="31"/>
    </row>
    <row r="555" spans="2:2" x14ac:dyDescent="0.3">
      <c r="B555" s="31"/>
    </row>
    <row r="556" spans="2:2" x14ac:dyDescent="0.3">
      <c r="B556" s="31"/>
    </row>
    <row r="557" spans="2:2" x14ac:dyDescent="0.3">
      <c r="B557" s="31"/>
    </row>
    <row r="558" spans="2:2" x14ac:dyDescent="0.3">
      <c r="B558" s="31"/>
    </row>
    <row r="559" spans="2:2" x14ac:dyDescent="0.3">
      <c r="B559" s="31"/>
    </row>
    <row r="560" spans="2:2" x14ac:dyDescent="0.3">
      <c r="B560" s="31"/>
    </row>
    <row r="561" spans="2:2" x14ac:dyDescent="0.3">
      <c r="B561" s="31"/>
    </row>
    <row r="562" spans="2:2" x14ac:dyDescent="0.3">
      <c r="B562" s="31"/>
    </row>
    <row r="563" spans="2:2" x14ac:dyDescent="0.3">
      <c r="B563" s="31"/>
    </row>
  </sheetData>
  <sortState xmlns:xlrd2="http://schemas.microsoft.com/office/spreadsheetml/2017/richdata2" ref="A3:BA202">
    <sortCondition ref="A3:A202"/>
    <sortCondition ref="B3:B202"/>
  </sortState>
  <printOptions gridLines="1"/>
  <pageMargins left="0.23622047244094491" right="0.23622047244094491" top="0.74803149606299213" bottom="0.74803149606299213" header="0.31496062992125984" footer="0.31496062992125984"/>
  <pageSetup paperSize="9" scale="7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5">
    <tabColor rgb="FF00B0F0"/>
  </sheetPr>
  <dimension ref="A1:B69"/>
  <sheetViews>
    <sheetView workbookViewId="0">
      <selection activeCell="A15" sqref="A15:B15"/>
    </sheetView>
  </sheetViews>
  <sheetFormatPr baseColWidth="10" defaultRowHeight="14.4" x14ac:dyDescent="0.3"/>
  <cols>
    <col min="1" max="1" width="24.5546875" style="1" bestFit="1" customWidth="1"/>
    <col min="2" max="2" width="35.21875" style="1" bestFit="1" customWidth="1"/>
  </cols>
  <sheetData>
    <row r="1" spans="1:2" s="1" customFormat="1" x14ac:dyDescent="0.3">
      <c r="A1" s="382" t="s">
        <v>432</v>
      </c>
      <c r="B1" s="382" t="s">
        <v>522</v>
      </c>
    </row>
    <row r="2" spans="1:2" x14ac:dyDescent="0.3">
      <c r="A2" s="381" t="s">
        <v>447</v>
      </c>
      <c r="B2" s="381" t="s">
        <v>448</v>
      </c>
    </row>
    <row r="3" spans="1:2" x14ac:dyDescent="0.3">
      <c r="A3" s="381" t="s">
        <v>883</v>
      </c>
      <c r="B3" s="381" t="s">
        <v>884</v>
      </c>
    </row>
    <row r="4" spans="1:2" x14ac:dyDescent="0.3">
      <c r="A4" s="381" t="s">
        <v>11</v>
      </c>
      <c r="B4" s="381" t="s">
        <v>449</v>
      </c>
    </row>
    <row r="5" spans="1:2" x14ac:dyDescent="0.3">
      <c r="A5" s="381" t="s">
        <v>885</v>
      </c>
      <c r="B5" s="566" t="s">
        <v>886</v>
      </c>
    </row>
    <row r="6" spans="1:2" x14ac:dyDescent="0.3">
      <c r="A6" s="381" t="s">
        <v>887</v>
      </c>
      <c r="B6" s="566" t="s">
        <v>888</v>
      </c>
    </row>
    <row r="7" spans="1:2" x14ac:dyDescent="0.3">
      <c r="A7" s="381" t="s">
        <v>889</v>
      </c>
      <c r="B7" s="381" t="s">
        <v>890</v>
      </c>
    </row>
    <row r="8" spans="1:2" x14ac:dyDescent="0.3">
      <c r="A8" s="381" t="s">
        <v>59</v>
      </c>
      <c r="B8" s="381" t="s">
        <v>516</v>
      </c>
    </row>
    <row r="9" spans="1:2" x14ac:dyDescent="0.3">
      <c r="A9" s="381" t="s">
        <v>12</v>
      </c>
      <c r="B9" s="381" t="s">
        <v>505</v>
      </c>
    </row>
    <row r="10" spans="1:2" x14ac:dyDescent="0.3">
      <c r="A10" s="381" t="s">
        <v>520</v>
      </c>
      <c r="B10" s="381" t="s">
        <v>521</v>
      </c>
    </row>
    <row r="11" spans="1:2" x14ac:dyDescent="0.3">
      <c r="A11" s="381" t="s">
        <v>13</v>
      </c>
      <c r="B11" s="381" t="s">
        <v>500</v>
      </c>
    </row>
    <row r="12" spans="1:2" x14ac:dyDescent="0.3">
      <c r="A12" s="381" t="s">
        <v>8</v>
      </c>
      <c r="B12" s="381" t="s">
        <v>501</v>
      </c>
    </row>
    <row r="13" spans="1:2" x14ac:dyDescent="0.3">
      <c r="A13" s="381" t="s">
        <v>7</v>
      </c>
      <c r="B13" s="381" t="s">
        <v>502</v>
      </c>
    </row>
    <row r="14" spans="1:2" x14ac:dyDescent="0.3">
      <c r="A14" s="381" t="s">
        <v>503</v>
      </c>
      <c r="B14" s="381" t="s">
        <v>504</v>
      </c>
    </row>
    <row r="15" spans="1:2" x14ac:dyDescent="0.3">
      <c r="A15" s="1" t="s">
        <v>949</v>
      </c>
      <c r="B15" s="567" t="s">
        <v>1065</v>
      </c>
    </row>
    <row r="16" spans="1:2" x14ac:dyDescent="0.3">
      <c r="A16" s="381" t="s">
        <v>52</v>
      </c>
      <c r="B16" s="381" t="s">
        <v>517</v>
      </c>
    </row>
    <row r="17" spans="1:2" x14ac:dyDescent="0.3">
      <c r="A17" s="381" t="s">
        <v>518</v>
      </c>
      <c r="B17" s="381" t="s">
        <v>519</v>
      </c>
    </row>
    <row r="18" spans="1:2" x14ac:dyDescent="0.3">
      <c r="A18" s="381" t="s">
        <v>56</v>
      </c>
      <c r="B18" s="381" t="s">
        <v>507</v>
      </c>
    </row>
    <row r="19" spans="1:2" x14ac:dyDescent="0.3">
      <c r="A19" s="381" t="s">
        <v>55</v>
      </c>
      <c r="B19" s="381" t="s">
        <v>506</v>
      </c>
    </row>
    <row r="20" spans="1:2" x14ac:dyDescent="0.3">
      <c r="A20" s="381" t="s">
        <v>58</v>
      </c>
      <c r="B20" s="381" t="s">
        <v>508</v>
      </c>
    </row>
    <row r="21" spans="1:2" x14ac:dyDescent="0.3">
      <c r="A21" s="381" t="s">
        <v>57</v>
      </c>
      <c r="B21" s="381" t="s">
        <v>509</v>
      </c>
    </row>
    <row r="22" spans="1:2" x14ac:dyDescent="0.3">
      <c r="A22" s="381" t="s">
        <v>450</v>
      </c>
      <c r="B22" s="381" t="s">
        <v>451</v>
      </c>
    </row>
    <row r="23" spans="1:2" x14ac:dyDescent="0.3">
      <c r="A23" s="381" t="s">
        <v>510</v>
      </c>
      <c r="B23" s="381" t="s">
        <v>511</v>
      </c>
    </row>
    <row r="24" spans="1:2" x14ac:dyDescent="0.3">
      <c r="A24" s="381" t="s">
        <v>514</v>
      </c>
      <c r="B24" s="381" t="s">
        <v>515</v>
      </c>
    </row>
    <row r="25" spans="1:2" x14ac:dyDescent="0.3">
      <c r="A25" s="381" t="s">
        <v>512</v>
      </c>
      <c r="B25" s="381" t="s">
        <v>513</v>
      </c>
    </row>
    <row r="26" spans="1:2" x14ac:dyDescent="0.3">
      <c r="A26" s="381" t="s">
        <v>3</v>
      </c>
      <c r="B26" s="381" t="s">
        <v>452</v>
      </c>
    </row>
    <row r="27" spans="1:2" x14ac:dyDescent="0.3">
      <c r="A27" s="381" t="s">
        <v>453</v>
      </c>
      <c r="B27" s="381" t="s">
        <v>454</v>
      </c>
    </row>
    <row r="28" spans="1:2" x14ac:dyDescent="0.3">
      <c r="A28" s="381" t="s">
        <v>891</v>
      </c>
      <c r="B28" s="381" t="s">
        <v>892</v>
      </c>
    </row>
    <row r="29" spans="1:2" x14ac:dyDescent="0.3">
      <c r="A29" s="381" t="s">
        <v>4</v>
      </c>
      <c r="B29" s="381" t="s">
        <v>455</v>
      </c>
    </row>
    <row r="30" spans="1:2" x14ac:dyDescent="0.3">
      <c r="A30" s="381" t="s">
        <v>10</v>
      </c>
      <c r="B30" s="381" t="s">
        <v>456</v>
      </c>
    </row>
    <row r="31" spans="1:2" x14ac:dyDescent="0.3">
      <c r="A31" s="381" t="s">
        <v>457</v>
      </c>
      <c r="B31" s="381" t="s">
        <v>458</v>
      </c>
    </row>
    <row r="32" spans="1:2" x14ac:dyDescent="0.3">
      <c r="A32" s="381" t="s">
        <v>281</v>
      </c>
      <c r="B32" s="381" t="s">
        <v>893</v>
      </c>
    </row>
    <row r="33" spans="1:2" x14ac:dyDescent="0.3">
      <c r="A33" s="381" t="s">
        <v>0</v>
      </c>
      <c r="B33" s="381" t="s">
        <v>459</v>
      </c>
    </row>
    <row r="34" spans="1:2" x14ac:dyDescent="0.3">
      <c r="A34" s="381" t="s">
        <v>460</v>
      </c>
      <c r="B34" s="381" t="s">
        <v>460</v>
      </c>
    </row>
    <row r="35" spans="1:2" x14ac:dyDescent="0.3">
      <c r="A35" s="381" t="s">
        <v>461</v>
      </c>
      <c r="B35" s="381" t="s">
        <v>462</v>
      </c>
    </row>
    <row r="36" spans="1:2" x14ac:dyDescent="0.3">
      <c r="A36" s="381" t="s">
        <v>867</v>
      </c>
      <c r="B36" s="381" t="s">
        <v>894</v>
      </c>
    </row>
    <row r="37" spans="1:2" x14ac:dyDescent="0.3">
      <c r="A37" s="381" t="s">
        <v>2</v>
      </c>
      <c r="B37" s="381" t="s">
        <v>463</v>
      </c>
    </row>
    <row r="38" spans="1:2" x14ac:dyDescent="0.3">
      <c r="A38" s="381" t="s">
        <v>466</v>
      </c>
      <c r="B38" s="381" t="s">
        <v>467</v>
      </c>
    </row>
    <row r="39" spans="1:2" x14ac:dyDescent="0.3">
      <c r="A39" s="381" t="s">
        <v>464</v>
      </c>
      <c r="B39" s="381" t="s">
        <v>465</v>
      </c>
    </row>
    <row r="40" spans="1:2" x14ac:dyDescent="0.3">
      <c r="A40" s="381" t="s">
        <v>895</v>
      </c>
      <c r="B40" s="381" t="s">
        <v>896</v>
      </c>
    </row>
    <row r="41" spans="1:2" x14ac:dyDescent="0.3">
      <c r="A41" s="381" t="s">
        <v>468</v>
      </c>
      <c r="B41" s="381" t="s">
        <v>469</v>
      </c>
    </row>
    <row r="42" spans="1:2" x14ac:dyDescent="0.3">
      <c r="A42" s="381" t="s">
        <v>845</v>
      </c>
      <c r="B42" s="381" t="s">
        <v>897</v>
      </c>
    </row>
    <row r="43" spans="1:2" x14ac:dyDescent="0.3">
      <c r="A43" s="381" t="s">
        <v>752</v>
      </c>
      <c r="B43" s="381" t="s">
        <v>875</v>
      </c>
    </row>
    <row r="44" spans="1:2" x14ac:dyDescent="0.3">
      <c r="A44" s="381" t="s">
        <v>45</v>
      </c>
      <c r="B44" s="381" t="s">
        <v>470</v>
      </c>
    </row>
    <row r="45" spans="1:2" x14ac:dyDescent="0.3">
      <c r="A45" s="381" t="s">
        <v>898</v>
      </c>
      <c r="B45" s="381" t="s">
        <v>899</v>
      </c>
    </row>
    <row r="46" spans="1:2" x14ac:dyDescent="0.3">
      <c r="A46" s="381" t="s">
        <v>471</v>
      </c>
      <c r="B46" s="381" t="s">
        <v>472</v>
      </c>
    </row>
    <row r="47" spans="1:2" x14ac:dyDescent="0.3">
      <c r="A47" s="381" t="s">
        <v>473</v>
      </c>
      <c r="B47" s="381" t="s">
        <v>474</v>
      </c>
    </row>
    <row r="48" spans="1:2" x14ac:dyDescent="0.3">
      <c r="A48" s="381" t="s">
        <v>825</v>
      </c>
      <c r="B48" s="381" t="s">
        <v>900</v>
      </c>
    </row>
    <row r="49" spans="1:2" x14ac:dyDescent="0.3">
      <c r="A49" s="381" t="s">
        <v>49</v>
      </c>
      <c r="B49" s="381" t="s">
        <v>475</v>
      </c>
    </row>
    <row r="50" spans="1:2" x14ac:dyDescent="0.3">
      <c r="A50" s="381" t="s">
        <v>476</v>
      </c>
      <c r="B50" s="381" t="s">
        <v>477</v>
      </c>
    </row>
    <row r="51" spans="1:2" x14ac:dyDescent="0.3">
      <c r="A51" s="381" t="s">
        <v>901</v>
      </c>
      <c r="B51" s="381" t="s">
        <v>902</v>
      </c>
    </row>
    <row r="52" spans="1:2" x14ac:dyDescent="0.3">
      <c r="A52" s="381" t="s">
        <v>5</v>
      </c>
      <c r="B52" s="381" t="s">
        <v>5</v>
      </c>
    </row>
    <row r="53" spans="1:2" x14ac:dyDescent="0.3">
      <c r="A53" s="381" t="s">
        <v>903</v>
      </c>
      <c r="B53" s="566" t="s">
        <v>904</v>
      </c>
    </row>
    <row r="54" spans="1:2" x14ac:dyDescent="0.3">
      <c r="A54" s="381" t="s">
        <v>478</v>
      </c>
      <c r="B54" s="381" t="s">
        <v>479</v>
      </c>
    </row>
    <row r="55" spans="1:2" x14ac:dyDescent="0.3">
      <c r="A55" s="381" t="s">
        <v>54</v>
      </c>
      <c r="B55" s="381" t="s">
        <v>480</v>
      </c>
    </row>
    <row r="56" spans="1:2" x14ac:dyDescent="0.3">
      <c r="A56" s="381" t="s">
        <v>53</v>
      </c>
      <c r="B56" s="381" t="s">
        <v>481</v>
      </c>
    </row>
    <row r="57" spans="1:2" x14ac:dyDescent="0.3">
      <c r="A57" s="381" t="s">
        <v>486</v>
      </c>
      <c r="B57" s="381" t="s">
        <v>487</v>
      </c>
    </row>
    <row r="58" spans="1:2" x14ac:dyDescent="0.3">
      <c r="A58" s="381" t="s">
        <v>488</v>
      </c>
      <c r="B58" s="381" t="s">
        <v>489</v>
      </c>
    </row>
    <row r="59" spans="1:2" x14ac:dyDescent="0.3">
      <c r="A59" s="381" t="s">
        <v>51</v>
      </c>
      <c r="B59" s="381" t="s">
        <v>482</v>
      </c>
    </row>
    <row r="60" spans="1:2" x14ac:dyDescent="0.3">
      <c r="A60" s="381" t="s">
        <v>483</v>
      </c>
      <c r="B60" s="381" t="s">
        <v>484</v>
      </c>
    </row>
    <row r="61" spans="1:2" x14ac:dyDescent="0.3">
      <c r="A61" s="381" t="s">
        <v>46</v>
      </c>
      <c r="B61" s="381" t="s">
        <v>485</v>
      </c>
    </row>
    <row r="62" spans="1:2" x14ac:dyDescent="0.3">
      <c r="A62" s="381" t="s">
        <v>905</v>
      </c>
      <c r="B62" s="381" t="s">
        <v>906</v>
      </c>
    </row>
    <row r="63" spans="1:2" x14ac:dyDescent="0.3">
      <c r="A63" s="381" t="s">
        <v>490</v>
      </c>
      <c r="B63" s="381" t="s">
        <v>491</v>
      </c>
    </row>
    <row r="64" spans="1:2" x14ac:dyDescent="0.3">
      <c r="A64" s="381" t="s">
        <v>492</v>
      </c>
      <c r="B64" s="381" t="s">
        <v>493</v>
      </c>
    </row>
    <row r="65" spans="1:2" x14ac:dyDescent="0.3">
      <c r="A65" s="381" t="s">
        <v>494</v>
      </c>
      <c r="B65" s="381" t="s">
        <v>495</v>
      </c>
    </row>
    <row r="66" spans="1:2" x14ac:dyDescent="0.3">
      <c r="A66" s="381" t="s">
        <v>496</v>
      </c>
      <c r="B66" s="381" t="s">
        <v>497</v>
      </c>
    </row>
    <row r="67" spans="1:2" x14ac:dyDescent="0.3">
      <c r="A67" s="381" t="s">
        <v>1</v>
      </c>
      <c r="B67" s="381" t="s">
        <v>498</v>
      </c>
    </row>
    <row r="68" spans="1:2" x14ac:dyDescent="0.3">
      <c r="A68" s="381" t="s">
        <v>50</v>
      </c>
      <c r="B68" s="381" t="s">
        <v>499</v>
      </c>
    </row>
    <row r="69" spans="1:2" x14ac:dyDescent="0.3">
      <c r="A69" s="381" t="s">
        <v>907</v>
      </c>
      <c r="B69" s="381" t="s">
        <v>908</v>
      </c>
    </row>
  </sheetData>
  <sortState xmlns:xlrd2="http://schemas.microsoft.com/office/spreadsheetml/2017/richdata2" ref="A2:B69">
    <sortCondition ref="A2:A69"/>
  </sortState>
  <pageMargins left="0.7" right="0.7" top="0.78740157499999996" bottom="0.78740157499999996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Tabelle21"/>
  <dimension ref="A1:P186"/>
  <sheetViews>
    <sheetView showGridLines="0" topLeftCell="A157" workbookViewId="0">
      <selection activeCell="B3" sqref="B3"/>
    </sheetView>
  </sheetViews>
  <sheetFormatPr baseColWidth="10" defaultRowHeight="14.4" x14ac:dyDescent="0.3"/>
  <cols>
    <col min="1" max="1" width="3.44140625" style="1" bestFit="1" customWidth="1"/>
    <col min="2" max="2" width="17.5546875" style="1" bestFit="1" customWidth="1"/>
    <col min="3" max="3" width="3.44140625" style="396" bestFit="1" customWidth="1"/>
    <col min="4" max="4" width="20.33203125" style="1" customWidth="1"/>
    <col min="5" max="5" width="3.44140625" style="397" bestFit="1" customWidth="1"/>
    <col min="6" max="6" width="18" style="1" customWidth="1"/>
    <col min="7" max="7" width="3.44140625" style="1" bestFit="1" customWidth="1"/>
    <col min="8" max="8" width="17.6640625" style="1" bestFit="1" customWidth="1"/>
    <col min="9" max="9" width="3.44140625" style="1" bestFit="1" customWidth="1"/>
    <col min="10" max="10" width="17.6640625" style="1" bestFit="1" customWidth="1"/>
    <col min="11" max="11" width="3.44140625" style="1" bestFit="1" customWidth="1"/>
    <col min="12" max="12" width="17.88671875" style="1" customWidth="1"/>
    <col min="13" max="13" width="3.44140625" style="1" bestFit="1" customWidth="1"/>
    <col min="14" max="14" width="17.6640625" style="1" bestFit="1" customWidth="1"/>
    <col min="15" max="15" width="3.44140625" style="1" bestFit="1" customWidth="1"/>
    <col min="16" max="16" width="17.6640625" style="1" bestFit="1" customWidth="1"/>
    <col min="17" max="16384" width="11.5546875" style="1"/>
  </cols>
  <sheetData>
    <row r="1" spans="1:15" ht="21" x14ac:dyDescent="0.4">
      <c r="D1" s="422" t="s">
        <v>676</v>
      </c>
    </row>
    <row r="2" spans="1:15" x14ac:dyDescent="0.3">
      <c r="M2" s="397">
        <v>6</v>
      </c>
      <c r="N2" s="47" t="s">
        <v>631</v>
      </c>
    </row>
    <row r="3" spans="1:15" x14ac:dyDescent="0.3">
      <c r="D3" s="421" t="s">
        <v>656</v>
      </c>
      <c r="E3" s="397">
        <v>4</v>
      </c>
      <c r="J3" s="47" t="s">
        <v>657</v>
      </c>
      <c r="K3" s="397" t="s">
        <v>641</v>
      </c>
      <c r="M3" s="396">
        <v>4</v>
      </c>
      <c r="N3" s="47" t="s">
        <v>673</v>
      </c>
    </row>
    <row r="4" spans="1:15" x14ac:dyDescent="0.3">
      <c r="E4" s="1"/>
      <c r="F4" s="290"/>
      <c r="J4" s="397">
        <v>2</v>
      </c>
      <c r="L4" s="396"/>
      <c r="M4" s="396">
        <v>3</v>
      </c>
      <c r="N4" s="47" t="s">
        <v>674</v>
      </c>
    </row>
    <row r="5" spans="1:15" ht="18" x14ac:dyDescent="0.3">
      <c r="F5" s="290"/>
      <c r="J5" s="47"/>
      <c r="L5" s="432">
        <v>7</v>
      </c>
      <c r="M5" s="396">
        <v>7</v>
      </c>
      <c r="N5" s="401" t="s">
        <v>675</v>
      </c>
    </row>
    <row r="6" spans="1:15" x14ac:dyDescent="0.3">
      <c r="F6" s="290"/>
      <c r="J6" s="47"/>
      <c r="M6" s="396" t="s">
        <v>637</v>
      </c>
      <c r="N6" s="400" t="s">
        <v>638</v>
      </c>
    </row>
    <row r="7" spans="1:15" x14ac:dyDescent="0.3">
      <c r="B7" s="691"/>
      <c r="D7" s="421" t="s">
        <v>333</v>
      </c>
      <c r="E7" s="397">
        <v>3</v>
      </c>
      <c r="F7" s="290"/>
      <c r="J7" s="47"/>
      <c r="M7" s="396" t="s">
        <v>634</v>
      </c>
      <c r="N7" s="400" t="s">
        <v>635</v>
      </c>
    </row>
    <row r="8" spans="1:15" x14ac:dyDescent="0.3">
      <c r="B8" s="691"/>
      <c r="E8" s="1"/>
      <c r="F8" s="290"/>
      <c r="J8" s="47"/>
      <c r="M8" s="396">
        <v>2</v>
      </c>
      <c r="N8" s="400" t="s">
        <v>665</v>
      </c>
    </row>
    <row r="9" spans="1:15" x14ac:dyDescent="0.3">
      <c r="D9" s="466" t="s">
        <v>44</v>
      </c>
      <c r="E9" s="397">
        <v>4</v>
      </c>
      <c r="F9" s="402" t="s">
        <v>639</v>
      </c>
      <c r="M9" s="397" t="s">
        <v>641</v>
      </c>
      <c r="N9" s="400" t="s">
        <v>679</v>
      </c>
      <c r="O9" s="396" t="s">
        <v>636</v>
      </c>
    </row>
    <row r="10" spans="1:15" x14ac:dyDescent="0.3">
      <c r="D10" s="413"/>
      <c r="E10" s="397">
        <v>3</v>
      </c>
      <c r="F10" s="405" t="s">
        <v>632</v>
      </c>
      <c r="M10" s="397"/>
      <c r="N10" s="400"/>
      <c r="O10" s="397" t="s">
        <v>640</v>
      </c>
    </row>
    <row r="11" spans="1:15" x14ac:dyDescent="0.3">
      <c r="D11" s="413"/>
      <c r="M11" s="397"/>
      <c r="N11" s="400"/>
      <c r="O11" s="396"/>
    </row>
    <row r="12" spans="1:15" x14ac:dyDescent="0.3">
      <c r="D12" s="467"/>
      <c r="E12" s="396">
        <v>8</v>
      </c>
      <c r="F12" s="405" t="s">
        <v>44</v>
      </c>
      <c r="M12" s="397"/>
      <c r="N12" s="400"/>
      <c r="O12" s="396"/>
    </row>
    <row r="13" spans="1:15" x14ac:dyDescent="0.3">
      <c r="D13" s="397">
        <v>6</v>
      </c>
    </row>
    <row r="14" spans="1:15" x14ac:dyDescent="0.3">
      <c r="D14" s="466" t="s">
        <v>2</v>
      </c>
      <c r="E14" s="397">
        <v>4</v>
      </c>
      <c r="F14" s="402" t="s">
        <v>629</v>
      </c>
      <c r="G14" s="396">
        <v>8</v>
      </c>
      <c r="H14" s="690" t="s">
        <v>628</v>
      </c>
    </row>
    <row r="15" spans="1:15" x14ac:dyDescent="0.3">
      <c r="A15" s="396"/>
      <c r="D15" s="413"/>
      <c r="E15" s="397">
        <v>3</v>
      </c>
      <c r="F15" s="406" t="s">
        <v>630</v>
      </c>
      <c r="G15" s="396">
        <v>3</v>
      </c>
      <c r="H15" s="690"/>
    </row>
    <row r="16" spans="1:15" ht="15" thickBot="1" x14ac:dyDescent="0.35">
      <c r="A16" s="396"/>
      <c r="D16" s="413"/>
      <c r="F16" s="473">
        <v>7</v>
      </c>
      <c r="G16" s="396"/>
    </row>
    <row r="17" spans="1:14" ht="15" thickBot="1" x14ac:dyDescent="0.35">
      <c r="A17" s="396"/>
      <c r="D17" s="483" t="s">
        <v>23</v>
      </c>
      <c r="E17" s="396" t="s">
        <v>637</v>
      </c>
      <c r="F17" s="531" t="s">
        <v>2</v>
      </c>
      <c r="G17" s="396"/>
    </row>
    <row r="18" spans="1:14" x14ac:dyDescent="0.3">
      <c r="D18" s="397">
        <v>6</v>
      </c>
    </row>
    <row r="19" spans="1:14" x14ac:dyDescent="0.3">
      <c r="D19" s="466" t="s">
        <v>278</v>
      </c>
      <c r="E19" s="397">
        <v>4</v>
      </c>
      <c r="F19" s="402" t="s">
        <v>629</v>
      </c>
      <c r="G19" s="396">
        <v>8</v>
      </c>
      <c r="H19" s="690" t="s">
        <v>628</v>
      </c>
    </row>
    <row r="20" spans="1:14" x14ac:dyDescent="0.3">
      <c r="D20" s="413"/>
      <c r="E20" s="397">
        <v>3</v>
      </c>
      <c r="F20" s="407" t="s">
        <v>630</v>
      </c>
      <c r="G20" s="396">
        <v>3</v>
      </c>
      <c r="H20" s="690"/>
    </row>
    <row r="21" spans="1:14" ht="15" thickBot="1" x14ac:dyDescent="0.35">
      <c r="C21" s="1"/>
      <c r="D21" s="413"/>
      <c r="E21" s="1"/>
      <c r="F21" s="473">
        <v>7</v>
      </c>
    </row>
    <row r="22" spans="1:14" ht="15" thickBot="1" x14ac:dyDescent="0.35">
      <c r="C22" s="1"/>
      <c r="D22" s="413"/>
      <c r="E22" s="396" t="s">
        <v>637</v>
      </c>
      <c r="F22" s="530" t="s">
        <v>278</v>
      </c>
    </row>
    <row r="23" spans="1:14" x14ac:dyDescent="0.3">
      <c r="C23" s="1"/>
      <c r="D23" s="521" t="s">
        <v>219</v>
      </c>
      <c r="E23" s="396"/>
      <c r="F23" s="529" t="s">
        <v>219</v>
      </c>
    </row>
    <row r="24" spans="1:14" x14ac:dyDescent="0.3">
      <c r="C24" s="1"/>
      <c r="D24" s="523" t="s">
        <v>701</v>
      </c>
      <c r="E24" s="396"/>
      <c r="F24" s="522" t="s">
        <v>217</v>
      </c>
    </row>
    <row r="25" spans="1:14" x14ac:dyDescent="0.3">
      <c r="C25" s="1"/>
      <c r="D25" s="397">
        <v>6</v>
      </c>
    </row>
    <row r="26" spans="1:14" x14ac:dyDescent="0.3">
      <c r="C26" s="1"/>
      <c r="D26" s="466" t="s">
        <v>431</v>
      </c>
      <c r="E26" s="397">
        <v>4</v>
      </c>
      <c r="F26" s="402" t="s">
        <v>639</v>
      </c>
    </row>
    <row r="27" spans="1:14" x14ac:dyDescent="0.3">
      <c r="A27" s="399"/>
      <c r="D27" s="413" t="s">
        <v>633</v>
      </c>
      <c r="E27" s="397">
        <v>3</v>
      </c>
      <c r="F27" s="425" t="s">
        <v>632</v>
      </c>
    </row>
    <row r="28" spans="1:14" ht="15" thickBot="1" x14ac:dyDescent="0.35">
      <c r="D28" s="482"/>
      <c r="E28" s="1"/>
    </row>
    <row r="29" spans="1:14" ht="15" thickBot="1" x14ac:dyDescent="0.35">
      <c r="D29" s="482"/>
      <c r="E29" s="396">
        <v>8</v>
      </c>
      <c r="F29" s="528" t="s">
        <v>431</v>
      </c>
    </row>
    <row r="30" spans="1:14" x14ac:dyDescent="0.3">
      <c r="D30" s="483"/>
      <c r="E30" s="396"/>
      <c r="F30" s="527" t="s">
        <v>219</v>
      </c>
    </row>
    <row r="31" spans="1:14" x14ac:dyDescent="0.3">
      <c r="D31" s="397">
        <v>6</v>
      </c>
    </row>
    <row r="32" spans="1:14" ht="14.4" customHeight="1" x14ac:dyDescent="0.3">
      <c r="B32" s="421" t="s">
        <v>333</v>
      </c>
      <c r="C32" s="396">
        <v>2</v>
      </c>
      <c r="D32" s="420" t="s">
        <v>214</v>
      </c>
      <c r="E32" s="397">
        <v>4</v>
      </c>
      <c r="F32" s="512" t="s">
        <v>740</v>
      </c>
      <c r="G32" s="396">
        <v>4</v>
      </c>
      <c r="H32" s="449" t="s">
        <v>31</v>
      </c>
      <c r="I32" s="396">
        <v>4</v>
      </c>
      <c r="J32" s="692" t="s">
        <v>5</v>
      </c>
      <c r="K32" s="397">
        <v>4</v>
      </c>
      <c r="L32" s="402" t="s">
        <v>629</v>
      </c>
      <c r="M32" s="396">
        <v>8</v>
      </c>
      <c r="N32" s="690" t="s">
        <v>628</v>
      </c>
    </row>
    <row r="33" spans="3:14" x14ac:dyDescent="0.3">
      <c r="D33" s="416"/>
      <c r="F33" s="479"/>
      <c r="H33" s="448"/>
      <c r="I33" s="396">
        <v>3</v>
      </c>
      <c r="J33" s="693"/>
      <c r="K33" s="396">
        <v>3</v>
      </c>
      <c r="L33" s="404" t="s">
        <v>630</v>
      </c>
      <c r="M33" s="396">
        <v>3</v>
      </c>
      <c r="N33" s="690"/>
    </row>
    <row r="34" spans="3:14" s="47" customFormat="1" ht="15" thickBot="1" x14ac:dyDescent="0.35">
      <c r="C34" s="469"/>
      <c r="D34" s="470"/>
      <c r="E34" s="471"/>
      <c r="F34" s="472"/>
      <c r="H34" s="429"/>
      <c r="L34" s="473">
        <v>7</v>
      </c>
    </row>
    <row r="35" spans="3:14" ht="15" thickBot="1" x14ac:dyDescent="0.35">
      <c r="D35" s="416"/>
      <c r="F35" s="435"/>
      <c r="G35" s="396"/>
      <c r="H35" s="461" t="s">
        <v>672</v>
      </c>
      <c r="I35" s="396" t="s">
        <v>637</v>
      </c>
      <c r="J35" s="701" t="s">
        <v>690</v>
      </c>
      <c r="K35" s="702"/>
      <c r="L35" s="703"/>
    </row>
    <row r="36" spans="3:14" x14ac:dyDescent="0.3">
      <c r="D36" s="416"/>
      <c r="F36" s="435"/>
      <c r="H36" s="397">
        <v>6</v>
      </c>
      <c r="I36" s="396"/>
    </row>
    <row r="37" spans="3:14" ht="14.4" customHeight="1" x14ac:dyDescent="0.3">
      <c r="D37" s="416"/>
      <c r="F37" s="435"/>
      <c r="H37" s="490" t="s">
        <v>28</v>
      </c>
      <c r="I37" s="396">
        <v>4</v>
      </c>
      <c r="J37" s="694" t="s">
        <v>653</v>
      </c>
      <c r="K37" s="397">
        <v>4</v>
      </c>
      <c r="L37" s="457" t="s">
        <v>629</v>
      </c>
      <c r="M37" s="396">
        <v>8</v>
      </c>
      <c r="N37" s="690" t="s">
        <v>628</v>
      </c>
    </row>
    <row r="38" spans="3:14" x14ac:dyDescent="0.3">
      <c r="D38" s="416"/>
      <c r="F38" s="435"/>
      <c r="H38" s="414"/>
      <c r="J38" s="695"/>
      <c r="K38" s="396">
        <v>3</v>
      </c>
      <c r="L38" s="409" t="s">
        <v>630</v>
      </c>
      <c r="M38" s="396">
        <v>3</v>
      </c>
      <c r="N38" s="690"/>
    </row>
    <row r="39" spans="3:14" ht="15" thickBot="1" x14ac:dyDescent="0.35">
      <c r="D39" s="416"/>
      <c r="F39" s="435"/>
      <c r="G39" s="396"/>
      <c r="H39" s="439"/>
      <c r="J39" s="414"/>
      <c r="K39" s="396"/>
      <c r="L39" s="473">
        <v>7</v>
      </c>
      <c r="M39" s="396"/>
    </row>
    <row r="40" spans="3:14" ht="15" thickBot="1" x14ac:dyDescent="0.35">
      <c r="D40" s="416"/>
      <c r="E40" s="1"/>
      <c r="F40" s="435"/>
      <c r="H40" s="439"/>
      <c r="J40" s="533" t="s">
        <v>663</v>
      </c>
      <c r="K40" s="396" t="s">
        <v>637</v>
      </c>
      <c r="L40" s="526" t="s">
        <v>4</v>
      </c>
      <c r="M40" s="396"/>
    </row>
    <row r="41" spans="3:14" x14ac:dyDescent="0.3">
      <c r="D41" s="416"/>
      <c r="E41" s="1"/>
      <c r="F41" s="435"/>
      <c r="H41" s="439"/>
      <c r="I41" s="396">
        <v>3</v>
      </c>
      <c r="J41" s="491"/>
      <c r="K41" s="396"/>
      <c r="L41" s="532" t="s">
        <v>205</v>
      </c>
      <c r="M41" s="396"/>
    </row>
    <row r="42" spans="3:14" x14ac:dyDescent="0.3">
      <c r="D42" s="416"/>
      <c r="E42" s="396"/>
      <c r="F42" s="435"/>
      <c r="G42" s="396"/>
      <c r="H42" s="428"/>
      <c r="I42" s="396"/>
      <c r="K42" s="396"/>
      <c r="M42" s="396"/>
    </row>
    <row r="43" spans="3:14" x14ac:dyDescent="0.3">
      <c r="D43" s="416"/>
      <c r="E43" s="396"/>
      <c r="F43" s="435"/>
      <c r="G43" s="397" t="s">
        <v>641</v>
      </c>
      <c r="H43" s="437" t="s">
        <v>681</v>
      </c>
      <c r="I43" s="396">
        <v>4</v>
      </c>
      <c r="J43" s="490" t="s">
        <v>658</v>
      </c>
      <c r="K43" s="397">
        <v>4</v>
      </c>
      <c r="L43" s="402" t="s">
        <v>639</v>
      </c>
      <c r="M43" s="396"/>
    </row>
    <row r="44" spans="3:14" x14ac:dyDescent="0.3">
      <c r="D44" s="416"/>
      <c r="E44" s="396"/>
      <c r="F44" s="436" t="s">
        <v>680</v>
      </c>
      <c r="H44" s="426"/>
      <c r="I44" s="396"/>
      <c r="J44" s="414"/>
      <c r="K44" s="397">
        <v>3</v>
      </c>
      <c r="L44" s="442" t="s">
        <v>632</v>
      </c>
      <c r="M44" s="396"/>
    </row>
    <row r="45" spans="3:14" ht="15" thickBot="1" x14ac:dyDescent="0.35">
      <c r="D45" s="416"/>
      <c r="E45" s="396"/>
      <c r="F45" s="436" t="s">
        <v>209</v>
      </c>
      <c r="H45" s="426"/>
      <c r="I45" s="396"/>
      <c r="J45" s="413" t="s">
        <v>667</v>
      </c>
      <c r="K45" s="396"/>
      <c r="L45" s="473"/>
      <c r="M45" s="396"/>
    </row>
    <row r="46" spans="3:14" ht="15" thickBot="1" x14ac:dyDescent="0.35">
      <c r="D46" s="416"/>
      <c r="E46" s="396"/>
      <c r="F46" s="435"/>
      <c r="H46" s="426"/>
      <c r="J46" s="414"/>
      <c r="K46" s="396">
        <v>8</v>
      </c>
      <c r="L46" s="525" t="s">
        <v>658</v>
      </c>
      <c r="M46" s="396"/>
    </row>
    <row r="47" spans="3:14" x14ac:dyDescent="0.3">
      <c r="D47" s="416"/>
      <c r="E47" s="396"/>
      <c r="F47" s="435"/>
      <c r="G47" s="396"/>
      <c r="H47" s="426"/>
      <c r="I47" s="396"/>
      <c r="J47" s="414"/>
      <c r="K47" s="396"/>
      <c r="L47" s="524" t="s">
        <v>209</v>
      </c>
      <c r="M47" s="396"/>
    </row>
    <row r="48" spans="3:14" x14ac:dyDescent="0.3">
      <c r="D48" s="416"/>
      <c r="E48" s="396"/>
      <c r="F48" s="508" t="s">
        <v>727</v>
      </c>
      <c r="G48" s="396">
        <v>3</v>
      </c>
      <c r="H48" s="427"/>
      <c r="I48" s="396">
        <v>3</v>
      </c>
      <c r="J48" s="491"/>
      <c r="K48" s="396"/>
      <c r="L48" s="424" t="s">
        <v>215</v>
      </c>
      <c r="M48" s="396"/>
    </row>
    <row r="49" spans="4:14" ht="28.2" customHeight="1" x14ac:dyDescent="0.3">
      <c r="D49" s="416"/>
      <c r="F49" s="496">
        <v>6</v>
      </c>
    </row>
    <row r="50" spans="4:14" ht="14.4" customHeight="1" x14ac:dyDescent="0.3">
      <c r="D50" s="416"/>
      <c r="F50" s="512" t="s">
        <v>739</v>
      </c>
      <c r="G50" s="396">
        <v>4</v>
      </c>
      <c r="H50" s="430" t="s">
        <v>48</v>
      </c>
      <c r="I50" s="396">
        <v>4</v>
      </c>
      <c r="J50" s="692" t="s">
        <v>5</v>
      </c>
      <c r="K50" s="397">
        <v>4</v>
      </c>
      <c r="L50" s="402" t="s">
        <v>629</v>
      </c>
      <c r="M50" s="396">
        <v>8</v>
      </c>
      <c r="N50" s="690" t="s">
        <v>628</v>
      </c>
    </row>
    <row r="51" spans="4:14" x14ac:dyDescent="0.3">
      <c r="D51" s="416"/>
      <c r="F51" s="479"/>
      <c r="H51" s="459"/>
      <c r="I51" s="396">
        <v>3</v>
      </c>
      <c r="J51" s="693"/>
      <c r="K51" s="396">
        <v>3</v>
      </c>
      <c r="L51" s="404" t="s">
        <v>630</v>
      </c>
      <c r="M51" s="396">
        <v>3</v>
      </c>
      <c r="N51" s="690"/>
    </row>
    <row r="52" spans="4:14" ht="15" thickBot="1" x14ac:dyDescent="0.35">
      <c r="D52" s="416"/>
      <c r="F52" s="435"/>
      <c r="H52" s="459"/>
      <c r="L52" s="473">
        <v>7</v>
      </c>
    </row>
    <row r="53" spans="4:14" ht="15" thickBot="1" x14ac:dyDescent="0.35">
      <c r="D53" s="416"/>
      <c r="F53" s="435"/>
      <c r="H53" s="461" t="s">
        <v>660</v>
      </c>
      <c r="I53" s="396" t="s">
        <v>637</v>
      </c>
      <c r="J53" s="701" t="s">
        <v>687</v>
      </c>
      <c r="K53" s="702"/>
      <c r="L53" s="703"/>
    </row>
    <row r="54" spans="4:14" x14ac:dyDescent="0.3">
      <c r="D54" s="416"/>
      <c r="F54" s="435"/>
      <c r="H54" s="397">
        <v>6</v>
      </c>
      <c r="I54" s="396"/>
    </row>
    <row r="55" spans="4:14" ht="14.4" customHeight="1" x14ac:dyDescent="0.3">
      <c r="D55" s="416"/>
      <c r="F55" s="435"/>
      <c r="H55" s="458" t="s">
        <v>28</v>
      </c>
      <c r="I55" s="396">
        <v>4</v>
      </c>
      <c r="J55" s="694" t="s">
        <v>653</v>
      </c>
      <c r="K55" s="397">
        <v>4</v>
      </c>
      <c r="L55" s="457" t="s">
        <v>629</v>
      </c>
      <c r="M55" s="396">
        <v>8</v>
      </c>
      <c r="N55" s="690" t="s">
        <v>628</v>
      </c>
    </row>
    <row r="56" spans="4:14" x14ac:dyDescent="0.3">
      <c r="D56" s="416"/>
      <c r="F56" s="435"/>
      <c r="H56" s="414"/>
      <c r="J56" s="695"/>
      <c r="K56" s="396">
        <v>3</v>
      </c>
      <c r="L56" s="409" t="s">
        <v>630</v>
      </c>
      <c r="M56" s="396">
        <v>3</v>
      </c>
      <c r="N56" s="690"/>
    </row>
    <row r="57" spans="4:14" ht="15" thickBot="1" x14ac:dyDescent="0.35">
      <c r="D57" s="416"/>
      <c r="F57" s="435"/>
      <c r="H57" s="439"/>
      <c r="J57" s="414"/>
      <c r="L57" s="473">
        <v>7</v>
      </c>
    </row>
    <row r="58" spans="4:14" ht="15" thickBot="1" x14ac:dyDescent="0.35">
      <c r="D58" s="416"/>
      <c r="F58" s="435"/>
      <c r="H58" s="439"/>
      <c r="I58" s="396">
        <v>3</v>
      </c>
      <c r="J58" s="533" t="s">
        <v>663</v>
      </c>
      <c r="K58" s="396" t="s">
        <v>637</v>
      </c>
      <c r="L58" s="526" t="s">
        <v>4</v>
      </c>
    </row>
    <row r="59" spans="4:14" x14ac:dyDescent="0.3">
      <c r="D59" s="416"/>
      <c r="F59" s="435"/>
      <c r="H59" s="439"/>
      <c r="I59" s="396"/>
      <c r="J59" s="491"/>
      <c r="K59" s="396"/>
      <c r="L59" s="532" t="s">
        <v>205</v>
      </c>
    </row>
    <row r="60" spans="4:14" x14ac:dyDescent="0.3">
      <c r="D60" s="416"/>
      <c r="E60" s="396"/>
      <c r="F60" s="435"/>
      <c r="G60" s="396"/>
      <c r="H60" s="414"/>
      <c r="I60" s="396"/>
      <c r="K60" s="396"/>
    </row>
    <row r="61" spans="4:14" x14ac:dyDescent="0.3">
      <c r="D61" s="416"/>
      <c r="E61" s="396"/>
      <c r="F61" s="435"/>
      <c r="G61" s="397" t="s">
        <v>641</v>
      </c>
      <c r="H61" s="437" t="s">
        <v>681</v>
      </c>
      <c r="I61" s="396">
        <v>4</v>
      </c>
      <c r="J61" s="458" t="s">
        <v>658</v>
      </c>
      <c r="K61" s="397">
        <v>4</v>
      </c>
      <c r="L61" s="402" t="s">
        <v>639</v>
      </c>
    </row>
    <row r="62" spans="4:14" x14ac:dyDescent="0.3">
      <c r="D62" s="416"/>
      <c r="E62" s="396"/>
      <c r="F62" s="436" t="s">
        <v>680</v>
      </c>
      <c r="G62" s="396"/>
      <c r="H62" s="414"/>
      <c r="I62" s="396"/>
      <c r="J62" s="414"/>
      <c r="K62" s="397">
        <v>3</v>
      </c>
      <c r="L62" s="442" t="s">
        <v>632</v>
      </c>
    </row>
    <row r="63" spans="4:14" ht="15" thickBot="1" x14ac:dyDescent="0.35">
      <c r="D63" s="416"/>
      <c r="E63" s="396"/>
      <c r="F63" s="436" t="s">
        <v>209</v>
      </c>
      <c r="G63" s="396"/>
      <c r="H63" s="414"/>
      <c r="I63" s="396"/>
      <c r="J63" s="413" t="s">
        <v>667</v>
      </c>
      <c r="K63" s="396"/>
      <c r="L63" s="473"/>
    </row>
    <row r="64" spans="4:14" ht="15" thickBot="1" x14ac:dyDescent="0.35">
      <c r="D64" s="416"/>
      <c r="E64" s="396"/>
      <c r="F64" s="435"/>
      <c r="H64" s="414"/>
      <c r="J64" s="414"/>
      <c r="K64" s="396">
        <v>8</v>
      </c>
      <c r="L64" s="525" t="s">
        <v>658</v>
      </c>
    </row>
    <row r="65" spans="3:14" x14ac:dyDescent="0.3">
      <c r="D65" s="416"/>
      <c r="E65" s="396"/>
      <c r="F65" s="435"/>
      <c r="G65" s="396"/>
      <c r="H65" s="414"/>
      <c r="I65" s="396"/>
      <c r="J65" s="414"/>
      <c r="K65" s="396"/>
      <c r="L65" s="524" t="s">
        <v>209</v>
      </c>
    </row>
    <row r="66" spans="3:14" x14ac:dyDescent="0.3">
      <c r="D66" s="416"/>
      <c r="E66" s="396"/>
      <c r="F66" s="508" t="s">
        <v>728</v>
      </c>
      <c r="G66" s="396">
        <v>3</v>
      </c>
      <c r="H66" s="491"/>
      <c r="I66" s="396">
        <v>3</v>
      </c>
      <c r="J66" s="491"/>
      <c r="K66" s="396"/>
      <c r="L66" s="424" t="s">
        <v>215</v>
      </c>
    </row>
    <row r="67" spans="3:14" ht="28.2" customHeight="1" x14ac:dyDescent="0.3">
      <c r="D67" s="416"/>
      <c r="F67" s="496">
        <v>6</v>
      </c>
    </row>
    <row r="68" spans="3:14" ht="14.4" customHeight="1" x14ac:dyDescent="0.3">
      <c r="C68" s="397" t="s">
        <v>641</v>
      </c>
      <c r="D68" s="447" t="s">
        <v>677</v>
      </c>
      <c r="F68" s="512" t="s">
        <v>743</v>
      </c>
      <c r="G68" s="396">
        <v>4</v>
      </c>
      <c r="H68" s="430" t="s">
        <v>334</v>
      </c>
      <c r="I68" s="396">
        <v>4</v>
      </c>
      <c r="J68" s="692" t="s">
        <v>5</v>
      </c>
      <c r="K68" s="397">
        <v>4</v>
      </c>
      <c r="L68" s="457" t="s">
        <v>629</v>
      </c>
      <c r="M68" s="396">
        <v>8</v>
      </c>
      <c r="N68" s="690" t="s">
        <v>628</v>
      </c>
    </row>
    <row r="69" spans="3:14" x14ac:dyDescent="0.3">
      <c r="D69" s="447" t="s">
        <v>678</v>
      </c>
      <c r="F69" s="479"/>
      <c r="H69" s="477" t="s">
        <v>353</v>
      </c>
      <c r="I69" s="396">
        <v>3</v>
      </c>
      <c r="J69" s="693"/>
      <c r="K69" s="396">
        <v>3</v>
      </c>
      <c r="L69" s="403" t="s">
        <v>630</v>
      </c>
      <c r="M69" s="396">
        <v>3</v>
      </c>
      <c r="N69" s="690"/>
    </row>
    <row r="70" spans="3:14" ht="18" customHeight="1" thickBot="1" x14ac:dyDescent="0.35">
      <c r="D70" s="417"/>
      <c r="F70" s="435"/>
      <c r="H70" s="429"/>
      <c r="L70" s="473">
        <v>7</v>
      </c>
    </row>
    <row r="71" spans="3:14" ht="21" thickBot="1" x14ac:dyDescent="0.35">
      <c r="D71" s="417"/>
      <c r="F71" s="435"/>
      <c r="H71" s="461" t="s">
        <v>668</v>
      </c>
      <c r="I71" s="396" t="s">
        <v>637</v>
      </c>
      <c r="J71" s="701" t="s">
        <v>691</v>
      </c>
      <c r="K71" s="702"/>
      <c r="L71" s="703"/>
    </row>
    <row r="72" spans="3:14" x14ac:dyDescent="0.3">
      <c r="D72" s="417"/>
      <c r="E72" s="396"/>
      <c r="F72" s="436"/>
      <c r="G72" s="396"/>
      <c r="H72" s="397">
        <v>6</v>
      </c>
      <c r="I72" s="396"/>
    </row>
    <row r="73" spans="3:14" x14ac:dyDescent="0.3">
      <c r="D73" s="417"/>
      <c r="E73" s="1"/>
      <c r="F73" s="435"/>
      <c r="H73" s="458" t="s">
        <v>28</v>
      </c>
      <c r="I73" s="396">
        <v>4</v>
      </c>
      <c r="J73" s="694" t="s">
        <v>653</v>
      </c>
      <c r="K73" s="397">
        <v>4</v>
      </c>
      <c r="L73" s="457" t="s">
        <v>629</v>
      </c>
      <c r="M73" s="396">
        <v>8</v>
      </c>
      <c r="N73" s="690" t="s">
        <v>628</v>
      </c>
    </row>
    <row r="74" spans="3:14" x14ac:dyDescent="0.3">
      <c r="D74" s="417"/>
      <c r="E74" s="396"/>
      <c r="F74" s="436"/>
      <c r="G74" s="396"/>
      <c r="H74" s="413"/>
      <c r="J74" s="695"/>
      <c r="K74" s="396">
        <v>3</v>
      </c>
      <c r="L74" s="409" t="s">
        <v>630</v>
      </c>
      <c r="M74" s="396">
        <v>3</v>
      </c>
      <c r="N74" s="690"/>
    </row>
    <row r="75" spans="3:14" x14ac:dyDescent="0.3">
      <c r="D75" s="417"/>
      <c r="E75" s="396"/>
      <c r="F75" s="436"/>
      <c r="G75" s="396"/>
      <c r="H75" s="413"/>
      <c r="I75" s="396">
        <v>3</v>
      </c>
      <c r="J75" s="414"/>
      <c r="K75" s="396"/>
      <c r="L75" s="473">
        <v>7</v>
      </c>
      <c r="M75" s="396"/>
    </row>
    <row r="76" spans="3:14" x14ac:dyDescent="0.3">
      <c r="D76" s="418"/>
      <c r="E76" s="396"/>
      <c r="F76" s="436"/>
      <c r="G76" s="396"/>
      <c r="H76" s="439"/>
      <c r="J76" s="462" t="s">
        <v>655</v>
      </c>
      <c r="K76" s="396" t="s">
        <v>637</v>
      </c>
      <c r="L76" s="409" t="s">
        <v>4</v>
      </c>
    </row>
    <row r="77" spans="3:14" x14ac:dyDescent="0.3">
      <c r="D77" s="418"/>
      <c r="E77" s="396"/>
      <c r="F77" s="436"/>
      <c r="G77" s="396"/>
      <c r="H77" s="439"/>
      <c r="I77" s="396"/>
      <c r="J77" s="446" t="s">
        <v>689</v>
      </c>
      <c r="K77" s="396"/>
      <c r="L77" s="532" t="s">
        <v>205</v>
      </c>
    </row>
    <row r="78" spans="3:14" x14ac:dyDescent="0.3">
      <c r="D78" s="418"/>
      <c r="E78" s="396"/>
      <c r="F78" s="436"/>
      <c r="G78" s="396"/>
      <c r="H78" s="413" t="s">
        <v>692</v>
      </c>
      <c r="I78" s="396"/>
      <c r="K78" s="396"/>
    </row>
    <row r="79" spans="3:14" x14ac:dyDescent="0.3">
      <c r="D79" s="418"/>
      <c r="E79" s="396"/>
      <c r="F79" s="436"/>
      <c r="G79" s="397" t="s">
        <v>641</v>
      </c>
      <c r="H79" s="413" t="s">
        <v>693</v>
      </c>
      <c r="I79" s="396">
        <v>4</v>
      </c>
      <c r="J79" s="458" t="s">
        <v>658</v>
      </c>
      <c r="K79" s="397">
        <v>4</v>
      </c>
      <c r="L79" s="402" t="s">
        <v>639</v>
      </c>
    </row>
    <row r="80" spans="3:14" x14ac:dyDescent="0.3">
      <c r="D80" s="418"/>
      <c r="E80" s="396"/>
      <c r="F80" s="436"/>
      <c r="G80" s="396"/>
      <c r="H80" s="478" t="s">
        <v>694</v>
      </c>
      <c r="I80" s="396"/>
      <c r="J80" s="414"/>
      <c r="K80" s="397">
        <v>3</v>
      </c>
      <c r="L80" s="442" t="s">
        <v>632</v>
      </c>
    </row>
    <row r="81" spans="4:16" ht="15" thickBot="1" x14ac:dyDescent="0.35">
      <c r="D81" s="418"/>
      <c r="E81" s="396"/>
      <c r="F81" s="436" t="s">
        <v>680</v>
      </c>
      <c r="G81" s="396"/>
      <c r="H81" s="414"/>
      <c r="I81" s="396"/>
      <c r="J81" s="413" t="s">
        <v>667</v>
      </c>
      <c r="K81" s="396"/>
      <c r="L81" s="473"/>
    </row>
    <row r="82" spans="4:16" ht="15" thickBot="1" x14ac:dyDescent="0.35">
      <c r="D82" s="418"/>
      <c r="E82" s="396"/>
      <c r="F82" s="436" t="s">
        <v>209</v>
      </c>
      <c r="H82" s="414"/>
      <c r="J82" s="414"/>
      <c r="K82" s="396">
        <v>8</v>
      </c>
      <c r="L82" s="525" t="s">
        <v>658</v>
      </c>
    </row>
    <row r="83" spans="4:16" x14ac:dyDescent="0.3">
      <c r="D83" s="418"/>
      <c r="E83" s="396"/>
      <c r="F83" s="436"/>
      <c r="G83" s="396"/>
      <c r="H83" s="414"/>
      <c r="I83" s="396"/>
      <c r="J83" s="414"/>
      <c r="K83" s="396"/>
      <c r="L83" s="524" t="s">
        <v>209</v>
      </c>
    </row>
    <row r="84" spans="4:16" x14ac:dyDescent="0.3">
      <c r="D84" s="418"/>
      <c r="E84" s="396"/>
      <c r="F84" s="436"/>
      <c r="G84" s="396">
        <v>3</v>
      </c>
      <c r="H84" s="491"/>
      <c r="I84" s="396">
        <v>3</v>
      </c>
      <c r="J84" s="491"/>
      <c r="K84" s="396"/>
      <c r="L84" s="424" t="s">
        <v>215</v>
      </c>
    </row>
    <row r="85" spans="4:16" x14ac:dyDescent="0.3">
      <c r="D85" s="418"/>
      <c r="E85" s="396"/>
      <c r="F85" s="436" t="s">
        <v>348</v>
      </c>
      <c r="G85" s="398"/>
      <c r="H85" s="397"/>
    </row>
    <row r="86" spans="4:16" x14ac:dyDescent="0.3">
      <c r="D86" s="418"/>
      <c r="E86" s="1"/>
      <c r="F86" s="435"/>
      <c r="G86" s="396">
        <v>4</v>
      </c>
      <c r="H86" s="433" t="s">
        <v>649</v>
      </c>
      <c r="I86" s="468" t="s">
        <v>634</v>
      </c>
      <c r="J86" s="430" t="s">
        <v>31</v>
      </c>
      <c r="K86" s="396">
        <v>4</v>
      </c>
      <c r="L86" s="692" t="s">
        <v>5</v>
      </c>
      <c r="M86" s="397">
        <v>4</v>
      </c>
      <c r="N86" s="402" t="s">
        <v>629</v>
      </c>
      <c r="O86" s="396">
        <v>8</v>
      </c>
      <c r="P86" s="690" t="s">
        <v>628</v>
      </c>
    </row>
    <row r="87" spans="4:16" x14ac:dyDescent="0.3">
      <c r="D87" s="418"/>
      <c r="E87" s="396"/>
      <c r="F87" s="434"/>
      <c r="G87" s="398"/>
      <c r="H87" s="434" t="s">
        <v>650</v>
      </c>
      <c r="I87" s="396">
        <v>4</v>
      </c>
      <c r="J87" s="443"/>
      <c r="K87" s="396">
        <v>3</v>
      </c>
      <c r="L87" s="693"/>
      <c r="M87" s="396">
        <v>3</v>
      </c>
      <c r="N87" s="403" t="s">
        <v>630</v>
      </c>
      <c r="O87" s="396">
        <v>3</v>
      </c>
      <c r="P87" s="690"/>
    </row>
    <row r="88" spans="4:16" ht="15" thickBot="1" x14ac:dyDescent="0.35">
      <c r="D88" s="418"/>
      <c r="E88" s="396"/>
      <c r="F88" s="434"/>
      <c r="G88" s="398"/>
      <c r="H88" s="434"/>
      <c r="I88" s="396"/>
      <c r="J88" s="460" t="s">
        <v>672</v>
      </c>
      <c r="K88" s="396"/>
      <c r="M88" s="396"/>
      <c r="N88" s="473">
        <v>7</v>
      </c>
      <c r="O88" s="396"/>
    </row>
    <row r="89" spans="4:16" ht="21" thickBot="1" x14ac:dyDescent="0.35">
      <c r="D89" s="418"/>
      <c r="E89" s="396"/>
      <c r="F89" s="434"/>
      <c r="G89" s="397" t="s">
        <v>641</v>
      </c>
      <c r="H89" s="475" t="s">
        <v>666</v>
      </c>
      <c r="I89" s="396"/>
      <c r="J89" s="461" t="s">
        <v>664</v>
      </c>
      <c r="K89" s="396" t="s">
        <v>637</v>
      </c>
      <c r="L89" s="701" t="s">
        <v>690</v>
      </c>
      <c r="M89" s="702"/>
      <c r="N89" s="703"/>
    </row>
    <row r="90" spans="4:16" x14ac:dyDescent="0.3">
      <c r="D90" s="418"/>
      <c r="E90" s="396"/>
      <c r="F90" s="434"/>
      <c r="H90" s="435"/>
      <c r="J90" s="397">
        <v>6</v>
      </c>
      <c r="K90" s="396"/>
    </row>
    <row r="91" spans="4:16" x14ac:dyDescent="0.3">
      <c r="D91" s="418"/>
      <c r="E91" s="396"/>
      <c r="F91" s="434"/>
      <c r="H91" s="474"/>
      <c r="J91" s="458" t="s">
        <v>28</v>
      </c>
      <c r="K91" s="396">
        <v>4</v>
      </c>
      <c r="L91" s="694" t="s">
        <v>654</v>
      </c>
      <c r="M91" s="397">
        <v>4</v>
      </c>
      <c r="N91" s="457" t="s">
        <v>629</v>
      </c>
      <c r="O91" s="396">
        <v>8</v>
      </c>
      <c r="P91" s="690" t="s">
        <v>628</v>
      </c>
    </row>
    <row r="92" spans="4:16" x14ac:dyDescent="0.3">
      <c r="D92" s="418"/>
      <c r="E92" s="396"/>
      <c r="F92" s="434"/>
      <c r="H92" s="436" t="s">
        <v>680</v>
      </c>
      <c r="J92" s="414"/>
      <c r="K92" s="396">
        <v>3</v>
      </c>
      <c r="L92" s="695"/>
      <c r="M92" s="396">
        <v>3</v>
      </c>
      <c r="N92" s="444" t="s">
        <v>630</v>
      </c>
      <c r="O92" s="396">
        <v>3</v>
      </c>
      <c r="P92" s="690"/>
    </row>
    <row r="93" spans="4:16" ht="15" customHeight="1" thickBot="1" x14ac:dyDescent="0.35">
      <c r="D93" s="418"/>
      <c r="E93" s="396"/>
      <c r="F93" s="434"/>
      <c r="H93" s="436" t="s">
        <v>209</v>
      </c>
      <c r="J93" s="414"/>
      <c r="L93" s="414"/>
      <c r="N93" s="473">
        <v>7</v>
      </c>
    </row>
    <row r="94" spans="4:16" ht="15" thickBot="1" x14ac:dyDescent="0.35">
      <c r="D94" s="418"/>
      <c r="E94" s="396"/>
      <c r="F94" s="434"/>
      <c r="H94" s="474"/>
      <c r="I94" s="396">
        <v>3</v>
      </c>
      <c r="J94" s="438" t="s">
        <v>666</v>
      </c>
      <c r="L94" s="704" t="s">
        <v>662</v>
      </c>
      <c r="M94" s="396" t="s">
        <v>637</v>
      </c>
      <c r="N94" s="535" t="s">
        <v>4</v>
      </c>
    </row>
    <row r="95" spans="4:16" x14ac:dyDescent="0.3">
      <c r="D95" s="418"/>
      <c r="E95" s="396"/>
      <c r="F95" s="434"/>
      <c r="H95" s="450" t="s">
        <v>348</v>
      </c>
      <c r="J95" s="441" t="s">
        <v>658</v>
      </c>
      <c r="L95" s="705"/>
      <c r="M95" s="396"/>
      <c r="N95" s="534" t="s">
        <v>205</v>
      </c>
    </row>
    <row r="96" spans="4:16" x14ac:dyDescent="0.3">
      <c r="D96" s="418"/>
      <c r="E96" s="396"/>
      <c r="F96" s="434"/>
      <c r="G96" s="398"/>
      <c r="H96" s="397">
        <v>6</v>
      </c>
    </row>
    <row r="97" spans="3:16" ht="14.4" customHeight="1" x14ac:dyDescent="0.3">
      <c r="D97" s="418"/>
      <c r="E97" s="396"/>
      <c r="F97" s="434"/>
      <c r="G97" s="398"/>
      <c r="H97" s="433" t="s">
        <v>651</v>
      </c>
      <c r="I97" s="468" t="s">
        <v>634</v>
      </c>
      <c r="J97" s="430" t="s">
        <v>659</v>
      </c>
      <c r="K97" s="396">
        <v>4</v>
      </c>
      <c r="L97" s="692" t="s">
        <v>5</v>
      </c>
      <c r="M97" s="397">
        <v>4</v>
      </c>
      <c r="N97" s="402" t="s">
        <v>629</v>
      </c>
      <c r="O97" s="396">
        <v>8</v>
      </c>
      <c r="P97" s="690" t="s">
        <v>628</v>
      </c>
    </row>
    <row r="98" spans="3:16" x14ac:dyDescent="0.3">
      <c r="D98" s="418"/>
      <c r="E98" s="396"/>
      <c r="F98" s="434"/>
      <c r="G98" s="398"/>
      <c r="H98" s="434" t="s">
        <v>652</v>
      </c>
      <c r="I98" s="396">
        <v>4</v>
      </c>
      <c r="J98" s="429"/>
      <c r="K98" s="396">
        <v>3</v>
      </c>
      <c r="L98" s="693"/>
      <c r="M98" s="396">
        <v>3</v>
      </c>
      <c r="N98" s="403" t="s">
        <v>630</v>
      </c>
      <c r="O98" s="396">
        <v>3</v>
      </c>
      <c r="P98" s="690"/>
    </row>
    <row r="99" spans="3:16" ht="15" thickBot="1" x14ac:dyDescent="0.35">
      <c r="D99" s="418"/>
      <c r="E99" s="396"/>
      <c r="F99" s="434"/>
      <c r="G99" s="398"/>
      <c r="H99" s="435"/>
      <c r="J99" s="476" t="s">
        <v>670</v>
      </c>
      <c r="N99" s="473">
        <v>7</v>
      </c>
    </row>
    <row r="100" spans="3:16" ht="21" thickBot="1" x14ac:dyDescent="0.35">
      <c r="D100" s="418"/>
      <c r="E100" s="396"/>
      <c r="F100" s="434"/>
      <c r="G100" s="397" t="s">
        <v>641</v>
      </c>
      <c r="H100" s="475" t="s">
        <v>666</v>
      </c>
      <c r="J100" s="461" t="s">
        <v>664</v>
      </c>
      <c r="K100" s="396" t="s">
        <v>637</v>
      </c>
      <c r="L100" s="701" t="s">
        <v>687</v>
      </c>
      <c r="M100" s="702"/>
      <c r="N100" s="703"/>
    </row>
    <row r="101" spans="3:16" x14ac:dyDescent="0.3">
      <c r="D101" s="418"/>
      <c r="E101" s="396"/>
      <c r="F101" s="435"/>
      <c r="H101" s="435"/>
      <c r="J101" s="397">
        <v>6</v>
      </c>
      <c r="K101" s="396"/>
    </row>
    <row r="102" spans="3:16" x14ac:dyDescent="0.3">
      <c r="D102" s="418"/>
      <c r="E102" s="396"/>
      <c r="F102" s="435"/>
      <c r="H102" s="435"/>
      <c r="J102" s="458" t="s">
        <v>28</v>
      </c>
      <c r="K102" s="396">
        <v>4</v>
      </c>
      <c r="L102" s="694" t="s">
        <v>654</v>
      </c>
      <c r="M102" s="397">
        <v>4</v>
      </c>
      <c r="N102" s="457" t="s">
        <v>629</v>
      </c>
      <c r="O102" s="396">
        <v>8</v>
      </c>
      <c r="P102" s="690" t="s">
        <v>628</v>
      </c>
    </row>
    <row r="103" spans="3:16" x14ac:dyDescent="0.3">
      <c r="D103" s="418"/>
      <c r="E103" s="396"/>
      <c r="F103" s="436"/>
      <c r="H103" s="436" t="s">
        <v>680</v>
      </c>
      <c r="J103" s="414"/>
      <c r="K103" s="396">
        <v>3</v>
      </c>
      <c r="L103" s="695"/>
      <c r="M103" s="396">
        <v>3</v>
      </c>
      <c r="N103" s="444" t="s">
        <v>630</v>
      </c>
      <c r="O103" s="396">
        <v>3</v>
      </c>
      <c r="P103" s="690"/>
    </row>
    <row r="104" spans="3:16" ht="15" customHeight="1" thickBot="1" x14ac:dyDescent="0.35">
      <c r="D104" s="418"/>
      <c r="E104" s="396"/>
      <c r="F104" s="436"/>
      <c r="H104" s="436" t="s">
        <v>209</v>
      </c>
      <c r="J104" s="414"/>
      <c r="L104" s="414"/>
      <c r="N104" s="473">
        <v>7</v>
      </c>
    </row>
    <row r="105" spans="3:16" ht="21" customHeight="1" thickBot="1" x14ac:dyDescent="0.35">
      <c r="D105" s="418"/>
      <c r="F105" s="436"/>
      <c r="G105" s="397">
        <v>3</v>
      </c>
      <c r="H105" s="435"/>
      <c r="I105" s="396">
        <v>3</v>
      </c>
      <c r="J105" s="438" t="s">
        <v>666</v>
      </c>
      <c r="L105" s="704" t="s">
        <v>662</v>
      </c>
      <c r="M105" s="396" t="s">
        <v>637</v>
      </c>
      <c r="N105" s="535" t="s">
        <v>4</v>
      </c>
    </row>
    <row r="106" spans="3:16" x14ac:dyDescent="0.3">
      <c r="D106" s="418"/>
      <c r="F106" s="508" t="s">
        <v>729</v>
      </c>
      <c r="G106" s="397"/>
      <c r="H106" s="450" t="s">
        <v>348</v>
      </c>
      <c r="I106" s="397" t="s">
        <v>641</v>
      </c>
      <c r="J106" s="441" t="s">
        <v>658</v>
      </c>
      <c r="L106" s="705"/>
      <c r="M106" s="396"/>
      <c r="N106" s="532" t="s">
        <v>205</v>
      </c>
    </row>
    <row r="107" spans="3:16" ht="28.8" customHeight="1" x14ac:dyDescent="0.3">
      <c r="D107" s="418"/>
      <c r="F107" s="496">
        <v>6</v>
      </c>
      <c r="G107" s="397"/>
      <c r="H107" s="415"/>
      <c r="M107" s="396"/>
    </row>
    <row r="108" spans="3:16" ht="14.4" customHeight="1" x14ac:dyDescent="0.3">
      <c r="C108" s="397" t="s">
        <v>641</v>
      </c>
      <c r="D108" s="447" t="s">
        <v>677</v>
      </c>
      <c r="E108" s="1"/>
      <c r="F108" s="512" t="s">
        <v>744</v>
      </c>
      <c r="G108" s="396">
        <v>4</v>
      </c>
      <c r="H108" s="430" t="s">
        <v>718</v>
      </c>
      <c r="I108" s="396">
        <v>4</v>
      </c>
      <c r="J108" s="692" t="s">
        <v>5</v>
      </c>
      <c r="K108" s="397">
        <v>4</v>
      </c>
      <c r="L108" s="402" t="s">
        <v>629</v>
      </c>
      <c r="M108" s="396">
        <v>8</v>
      </c>
      <c r="N108" s="690" t="s">
        <v>628</v>
      </c>
    </row>
    <row r="109" spans="3:16" x14ac:dyDescent="0.3">
      <c r="D109" s="447" t="s">
        <v>678</v>
      </c>
      <c r="F109" s="479"/>
      <c r="H109" s="477" t="s">
        <v>346</v>
      </c>
      <c r="I109" s="396">
        <v>3</v>
      </c>
      <c r="J109" s="693"/>
      <c r="K109" s="396">
        <v>3</v>
      </c>
      <c r="L109" s="404" t="s">
        <v>630</v>
      </c>
      <c r="M109" s="396">
        <v>3</v>
      </c>
      <c r="N109" s="690"/>
    </row>
    <row r="110" spans="3:16" ht="15" thickBot="1" x14ac:dyDescent="0.35">
      <c r="D110" s="417"/>
      <c r="F110" s="435"/>
      <c r="H110" s="459"/>
      <c r="L110" s="473">
        <v>7</v>
      </c>
    </row>
    <row r="111" spans="3:16" ht="21" thickBot="1" x14ac:dyDescent="0.35">
      <c r="D111" s="417"/>
      <c r="F111" s="435"/>
      <c r="G111" s="396"/>
      <c r="H111" s="461" t="s">
        <v>669</v>
      </c>
      <c r="I111" s="396" t="s">
        <v>637</v>
      </c>
      <c r="J111" s="701" t="s">
        <v>687</v>
      </c>
      <c r="K111" s="702"/>
      <c r="L111" s="703"/>
    </row>
    <row r="112" spans="3:16" x14ac:dyDescent="0.3">
      <c r="D112" s="417"/>
      <c r="F112" s="435"/>
      <c r="G112" s="396"/>
      <c r="H112" s="397">
        <v>6</v>
      </c>
      <c r="I112" s="396"/>
    </row>
    <row r="113" spans="4:16" ht="14.4" customHeight="1" x14ac:dyDescent="0.3">
      <c r="D113" s="417"/>
      <c r="F113" s="435"/>
      <c r="H113" s="458" t="s">
        <v>28</v>
      </c>
      <c r="I113" s="396">
        <v>4</v>
      </c>
      <c r="J113" s="694" t="s">
        <v>653</v>
      </c>
      <c r="K113" s="397">
        <v>4</v>
      </c>
      <c r="L113" s="457" t="s">
        <v>629</v>
      </c>
      <c r="M113" s="396">
        <v>8</v>
      </c>
      <c r="N113" s="690" t="s">
        <v>628</v>
      </c>
    </row>
    <row r="114" spans="4:16" x14ac:dyDescent="0.3">
      <c r="D114" s="417"/>
      <c r="F114" s="435"/>
      <c r="G114" s="396"/>
      <c r="H114" s="413"/>
      <c r="J114" s="695"/>
      <c r="K114" s="396">
        <v>3</v>
      </c>
      <c r="L114" s="444" t="s">
        <v>630</v>
      </c>
      <c r="M114" s="396">
        <v>3</v>
      </c>
      <c r="N114" s="690"/>
    </row>
    <row r="115" spans="4:16" ht="15" thickBot="1" x14ac:dyDescent="0.35">
      <c r="D115" s="417"/>
      <c r="F115" s="435"/>
      <c r="G115" s="396"/>
      <c r="H115" s="413"/>
      <c r="I115" s="396"/>
      <c r="J115" s="413"/>
      <c r="K115" s="396"/>
      <c r="L115" s="473">
        <v>7</v>
      </c>
      <c r="M115" s="396"/>
    </row>
    <row r="116" spans="4:16" ht="15" thickBot="1" x14ac:dyDescent="0.35">
      <c r="D116" s="417"/>
      <c r="E116" s="396"/>
      <c r="F116" s="436"/>
      <c r="G116" s="396"/>
      <c r="H116" s="439"/>
      <c r="I116" s="396">
        <v>3</v>
      </c>
      <c r="J116" s="462" t="s">
        <v>655</v>
      </c>
      <c r="K116" s="396" t="s">
        <v>637</v>
      </c>
      <c r="L116" s="535" t="s">
        <v>4</v>
      </c>
    </row>
    <row r="117" spans="4:16" x14ac:dyDescent="0.3">
      <c r="D117" s="417"/>
      <c r="E117" s="396"/>
      <c r="F117" s="436"/>
      <c r="G117" s="396"/>
      <c r="H117" s="439"/>
      <c r="I117" s="396"/>
      <c r="J117" s="446" t="s">
        <v>688</v>
      </c>
      <c r="K117" s="396"/>
      <c r="L117" s="532" t="s">
        <v>205</v>
      </c>
    </row>
    <row r="118" spans="4:16" x14ac:dyDescent="0.3">
      <c r="D118" s="417"/>
      <c r="E118" s="396"/>
      <c r="F118" s="436"/>
      <c r="G118" s="397" t="s">
        <v>641</v>
      </c>
      <c r="H118" s="413" t="s">
        <v>695</v>
      </c>
      <c r="I118" s="396"/>
    </row>
    <row r="119" spans="4:16" x14ac:dyDescent="0.3">
      <c r="D119" s="417"/>
      <c r="E119" s="396"/>
      <c r="F119" s="436"/>
      <c r="H119" s="413" t="s">
        <v>696</v>
      </c>
      <c r="I119" s="396">
        <v>4</v>
      </c>
      <c r="J119" s="458" t="s">
        <v>658</v>
      </c>
      <c r="K119" s="397">
        <v>4</v>
      </c>
      <c r="L119" s="402" t="s">
        <v>639</v>
      </c>
    </row>
    <row r="120" spans="4:16" x14ac:dyDescent="0.3">
      <c r="D120" s="417"/>
      <c r="E120" s="396"/>
      <c r="F120" s="436" t="s">
        <v>680</v>
      </c>
      <c r="G120" s="396"/>
      <c r="H120" s="478" t="s">
        <v>697</v>
      </c>
      <c r="I120" s="396"/>
      <c r="J120" s="414"/>
      <c r="K120" s="397">
        <v>3</v>
      </c>
      <c r="L120" s="442" t="s">
        <v>632</v>
      </c>
    </row>
    <row r="121" spans="4:16" ht="15" thickBot="1" x14ac:dyDescent="0.35">
      <c r="D121" s="417"/>
      <c r="E121" s="396"/>
      <c r="F121" s="436" t="s">
        <v>209</v>
      </c>
      <c r="G121" s="396"/>
      <c r="H121" s="414"/>
      <c r="I121" s="397"/>
      <c r="J121" s="413" t="s">
        <v>667</v>
      </c>
      <c r="K121" s="396"/>
      <c r="L121" s="473"/>
    </row>
    <row r="122" spans="4:16" ht="15" thickBot="1" x14ac:dyDescent="0.35">
      <c r="D122" s="417"/>
      <c r="E122" s="396"/>
      <c r="F122" s="436" t="s">
        <v>348</v>
      </c>
      <c r="H122" s="414"/>
      <c r="J122" s="414"/>
      <c r="K122" s="396">
        <v>8</v>
      </c>
      <c r="L122" s="525" t="s">
        <v>658</v>
      </c>
    </row>
    <row r="123" spans="4:16" x14ac:dyDescent="0.3">
      <c r="D123" s="417"/>
      <c r="E123" s="396"/>
      <c r="F123" s="436"/>
      <c r="G123" s="396"/>
      <c r="H123" s="414"/>
      <c r="I123" s="396"/>
      <c r="J123" s="414"/>
      <c r="K123" s="396"/>
      <c r="L123" s="524" t="s">
        <v>209</v>
      </c>
    </row>
    <row r="124" spans="4:16" x14ac:dyDescent="0.3">
      <c r="D124" s="417"/>
      <c r="E124" s="396"/>
      <c r="F124" s="436"/>
      <c r="G124" s="396">
        <v>3</v>
      </c>
      <c r="H124" s="491"/>
      <c r="I124" s="396">
        <v>3</v>
      </c>
      <c r="J124" s="491"/>
      <c r="K124" s="396"/>
      <c r="L124" s="424" t="s">
        <v>215</v>
      </c>
    </row>
    <row r="125" spans="4:16" x14ac:dyDescent="0.3">
      <c r="D125" s="417"/>
      <c r="F125" s="435"/>
      <c r="H125" s="397"/>
    </row>
    <row r="126" spans="4:16" ht="14.4" customHeight="1" x14ac:dyDescent="0.3">
      <c r="D126" s="417"/>
      <c r="F126" s="435"/>
      <c r="G126" s="396">
        <v>4</v>
      </c>
      <c r="H126" s="512" t="s">
        <v>650</v>
      </c>
      <c r="I126" s="396">
        <v>4</v>
      </c>
      <c r="J126" s="430" t="s">
        <v>31</v>
      </c>
      <c r="K126" s="396">
        <v>4</v>
      </c>
      <c r="L126" s="692" t="s">
        <v>5</v>
      </c>
      <c r="M126" s="397">
        <v>4</v>
      </c>
      <c r="N126" s="402" t="s">
        <v>629</v>
      </c>
      <c r="O126" s="396">
        <v>8</v>
      </c>
      <c r="P126" s="690" t="s">
        <v>628</v>
      </c>
    </row>
    <row r="127" spans="4:16" x14ac:dyDescent="0.3">
      <c r="D127" s="417"/>
      <c r="F127" s="435"/>
      <c r="H127" s="479"/>
      <c r="J127" s="429"/>
      <c r="K127" s="396">
        <v>3</v>
      </c>
      <c r="L127" s="693"/>
      <c r="M127" s="396">
        <v>3</v>
      </c>
      <c r="N127" s="404" t="s">
        <v>630</v>
      </c>
      <c r="O127" s="396">
        <v>3</v>
      </c>
      <c r="P127" s="690"/>
    </row>
    <row r="128" spans="4:16" x14ac:dyDescent="0.3">
      <c r="D128" s="417"/>
      <c r="F128" s="435"/>
      <c r="H128" s="434" t="s">
        <v>731</v>
      </c>
      <c r="I128" s="396">
        <v>3</v>
      </c>
      <c r="J128" s="699" t="s">
        <v>671</v>
      </c>
      <c r="N128" s="473">
        <v>7</v>
      </c>
    </row>
    <row r="129" spans="2:16" x14ac:dyDescent="0.3">
      <c r="D129" s="417"/>
      <c r="F129" s="435"/>
      <c r="G129" s="397" t="s">
        <v>641</v>
      </c>
      <c r="H129" s="475" t="s">
        <v>666</v>
      </c>
      <c r="J129" s="700"/>
      <c r="K129" s="396" t="s">
        <v>637</v>
      </c>
      <c r="L129" s="696" t="s">
        <v>690</v>
      </c>
      <c r="M129" s="697"/>
      <c r="N129" s="698"/>
    </row>
    <row r="130" spans="2:16" x14ac:dyDescent="0.3">
      <c r="D130" s="417"/>
      <c r="F130" s="435"/>
      <c r="H130" s="436"/>
      <c r="I130" s="397" t="s">
        <v>641</v>
      </c>
      <c r="J130" s="441" t="s">
        <v>28</v>
      </c>
    </row>
    <row r="131" spans="2:16" x14ac:dyDescent="0.3">
      <c r="D131" s="417"/>
      <c r="F131" s="435"/>
      <c r="H131" s="436" t="s">
        <v>684</v>
      </c>
      <c r="I131" s="397" t="s">
        <v>641</v>
      </c>
      <c r="J131" s="441" t="s">
        <v>4</v>
      </c>
    </row>
    <row r="132" spans="2:16" x14ac:dyDescent="0.3">
      <c r="D132" s="417"/>
      <c r="F132" s="435"/>
      <c r="H132" s="450" t="s">
        <v>348</v>
      </c>
      <c r="I132" s="397" t="s">
        <v>641</v>
      </c>
      <c r="J132" s="441" t="s">
        <v>658</v>
      </c>
    </row>
    <row r="133" spans="2:16" x14ac:dyDescent="0.3">
      <c r="D133" s="417"/>
      <c r="F133" s="435"/>
      <c r="H133" s="397">
        <v>6</v>
      </c>
    </row>
    <row r="134" spans="2:16" ht="14.4" customHeight="1" x14ac:dyDescent="0.3">
      <c r="D134" s="417"/>
      <c r="F134" s="435"/>
      <c r="H134" s="512" t="s">
        <v>652</v>
      </c>
      <c r="I134" s="396">
        <v>4</v>
      </c>
      <c r="J134" s="458" t="s">
        <v>659</v>
      </c>
      <c r="K134" s="396">
        <v>4</v>
      </c>
      <c r="L134" s="692" t="s">
        <v>5</v>
      </c>
      <c r="M134" s="397">
        <v>4</v>
      </c>
      <c r="N134" s="402" t="s">
        <v>629</v>
      </c>
      <c r="O134" s="396">
        <v>8</v>
      </c>
      <c r="P134" s="690" t="s">
        <v>628</v>
      </c>
    </row>
    <row r="135" spans="2:16" x14ac:dyDescent="0.3">
      <c r="D135" s="417"/>
      <c r="F135" s="435"/>
      <c r="H135" s="479"/>
      <c r="J135" s="414"/>
      <c r="K135" s="396">
        <v>3</v>
      </c>
      <c r="L135" s="693"/>
      <c r="M135" s="396">
        <v>3</v>
      </c>
      <c r="N135" s="404" t="s">
        <v>630</v>
      </c>
      <c r="O135" s="396">
        <v>3</v>
      </c>
      <c r="P135" s="690"/>
    </row>
    <row r="136" spans="2:16" x14ac:dyDescent="0.3">
      <c r="C136" s="1"/>
      <c r="D136" s="417"/>
      <c r="F136" s="435"/>
      <c r="H136" s="434" t="s">
        <v>732</v>
      </c>
      <c r="I136" s="396">
        <v>3</v>
      </c>
      <c r="J136" s="699" t="s">
        <v>660</v>
      </c>
      <c r="N136" s="473">
        <v>7</v>
      </c>
    </row>
    <row r="137" spans="2:16" x14ac:dyDescent="0.3">
      <c r="C137" s="1"/>
      <c r="D137" s="417"/>
      <c r="E137" s="1"/>
      <c r="F137" s="435"/>
      <c r="G137" s="397" t="s">
        <v>641</v>
      </c>
      <c r="H137" s="475" t="s">
        <v>666</v>
      </c>
      <c r="J137" s="700"/>
      <c r="K137" s="396" t="s">
        <v>637</v>
      </c>
      <c r="L137" s="696" t="s">
        <v>687</v>
      </c>
      <c r="M137" s="697"/>
      <c r="N137" s="698"/>
    </row>
    <row r="138" spans="2:16" x14ac:dyDescent="0.3">
      <c r="D138" s="417"/>
      <c r="F138" s="436"/>
      <c r="H138" s="436"/>
      <c r="I138" s="397" t="s">
        <v>641</v>
      </c>
      <c r="J138" s="441" t="s">
        <v>28</v>
      </c>
    </row>
    <row r="139" spans="2:16" x14ac:dyDescent="0.3">
      <c r="B139" s="396">
        <v>2</v>
      </c>
      <c r="D139" s="417"/>
      <c r="F139" s="436"/>
      <c r="H139" s="436" t="s">
        <v>684</v>
      </c>
      <c r="I139" s="397" t="s">
        <v>641</v>
      </c>
      <c r="J139" s="441" t="s">
        <v>4</v>
      </c>
    </row>
    <row r="140" spans="2:16" x14ac:dyDescent="0.3">
      <c r="B140" s="445" t="s">
        <v>213</v>
      </c>
      <c r="C140" s="396">
        <v>3</v>
      </c>
      <c r="D140" s="419"/>
      <c r="E140" s="397">
        <v>3</v>
      </c>
      <c r="F140" s="450" t="s">
        <v>730</v>
      </c>
      <c r="G140" s="396">
        <v>3</v>
      </c>
      <c r="H140" s="450" t="s">
        <v>348</v>
      </c>
      <c r="I140" s="397" t="s">
        <v>641</v>
      </c>
      <c r="J140" s="441" t="s">
        <v>658</v>
      </c>
    </row>
    <row r="142" spans="2:16" x14ac:dyDescent="0.3">
      <c r="B142" s="451" t="s">
        <v>641</v>
      </c>
    </row>
    <row r="150" spans="4:10" x14ac:dyDescent="0.3">
      <c r="D150" s="397">
        <v>6</v>
      </c>
    </row>
    <row r="151" spans="4:10" x14ac:dyDescent="0.3">
      <c r="D151" s="433" t="s">
        <v>698</v>
      </c>
      <c r="E151" s="396">
        <v>4</v>
      </c>
      <c r="F151" s="458" t="s">
        <v>3</v>
      </c>
      <c r="G151" s="397">
        <v>4</v>
      </c>
      <c r="H151" s="402" t="s">
        <v>629</v>
      </c>
      <c r="I151" s="396">
        <v>8</v>
      </c>
      <c r="J151" s="690" t="s">
        <v>628</v>
      </c>
    </row>
    <row r="152" spans="4:10" x14ac:dyDescent="0.3">
      <c r="D152" s="479"/>
      <c r="F152" s="426"/>
      <c r="G152" s="396">
        <v>3</v>
      </c>
      <c r="H152" s="452" t="s">
        <v>630</v>
      </c>
      <c r="I152" s="396">
        <v>3</v>
      </c>
      <c r="J152" s="690"/>
    </row>
    <row r="153" spans="4:10" x14ac:dyDescent="0.3">
      <c r="D153" s="434" t="s">
        <v>200</v>
      </c>
      <c r="E153" s="396">
        <v>3</v>
      </c>
      <c r="F153" s="426"/>
      <c r="H153" s="473">
        <v>7</v>
      </c>
    </row>
    <row r="154" spans="4:10" x14ac:dyDescent="0.3">
      <c r="D154" s="479"/>
      <c r="F154" s="453" t="s">
        <v>17</v>
      </c>
      <c r="G154" s="396" t="s">
        <v>637</v>
      </c>
      <c r="H154" s="452" t="s">
        <v>3</v>
      </c>
    </row>
    <row r="155" spans="4:10" x14ac:dyDescent="0.3">
      <c r="D155" s="479"/>
      <c r="F155" s="397"/>
    </row>
    <row r="156" spans="4:10" x14ac:dyDescent="0.3">
      <c r="D156" s="479"/>
      <c r="E156" s="396">
        <v>4</v>
      </c>
      <c r="F156" s="458" t="s">
        <v>385</v>
      </c>
      <c r="G156" s="397">
        <v>4</v>
      </c>
      <c r="H156" s="402" t="s">
        <v>629</v>
      </c>
      <c r="I156" s="396">
        <v>8</v>
      </c>
      <c r="J156" s="690" t="s">
        <v>628</v>
      </c>
    </row>
    <row r="157" spans="4:10" x14ac:dyDescent="0.3">
      <c r="D157" s="479"/>
      <c r="F157" s="426"/>
      <c r="G157" s="396">
        <v>3</v>
      </c>
      <c r="H157" s="455" t="s">
        <v>630</v>
      </c>
      <c r="I157" s="396">
        <v>3</v>
      </c>
      <c r="J157" s="690"/>
    </row>
    <row r="158" spans="4:10" x14ac:dyDescent="0.3">
      <c r="D158" s="479"/>
      <c r="F158" s="456" t="s">
        <v>200</v>
      </c>
      <c r="H158" s="473">
        <v>7</v>
      </c>
    </row>
    <row r="159" spans="4:10" x14ac:dyDescent="0.3">
      <c r="D159" s="479"/>
      <c r="F159" s="454" t="s">
        <v>215</v>
      </c>
      <c r="G159" s="396" t="s">
        <v>637</v>
      </c>
      <c r="H159" s="455" t="s">
        <v>3</v>
      </c>
    </row>
    <row r="160" spans="4:10" x14ac:dyDescent="0.3">
      <c r="D160" s="479"/>
      <c r="F160" s="397"/>
    </row>
    <row r="161" spans="4:12" x14ac:dyDescent="0.3">
      <c r="D161" s="479"/>
      <c r="E161" s="396">
        <v>4</v>
      </c>
      <c r="F161" s="433" t="s">
        <v>685</v>
      </c>
    </row>
    <row r="162" spans="4:12" x14ac:dyDescent="0.3">
      <c r="D162" s="479"/>
      <c r="F162" s="434" t="s">
        <v>699</v>
      </c>
      <c r="G162" s="468" t="s">
        <v>634</v>
      </c>
    </row>
    <row r="163" spans="4:12" x14ac:dyDescent="0.3">
      <c r="D163" s="479"/>
      <c r="F163" s="479"/>
      <c r="G163" s="397">
        <v>4</v>
      </c>
      <c r="H163" s="402" t="s">
        <v>629</v>
      </c>
      <c r="I163" s="396">
        <v>8</v>
      </c>
      <c r="J163" s="690" t="s">
        <v>628</v>
      </c>
    </row>
    <row r="164" spans="4:12" x14ac:dyDescent="0.3">
      <c r="D164" s="479"/>
      <c r="F164" s="479"/>
      <c r="G164" s="396"/>
      <c r="H164" s="455" t="s">
        <v>630</v>
      </c>
      <c r="I164" s="396">
        <v>3</v>
      </c>
      <c r="J164" s="690"/>
    </row>
    <row r="165" spans="4:12" x14ac:dyDescent="0.3">
      <c r="D165" s="479"/>
      <c r="F165" s="479"/>
      <c r="H165" s="473">
        <v>7</v>
      </c>
    </row>
    <row r="166" spans="4:12" x14ac:dyDescent="0.3">
      <c r="D166" s="479"/>
      <c r="E166" s="396">
        <v>3</v>
      </c>
      <c r="F166" s="480"/>
      <c r="H166" s="455" t="s">
        <v>8</v>
      </c>
    </row>
    <row r="167" spans="4:12" x14ac:dyDescent="0.3">
      <c r="D167" s="479"/>
      <c r="F167" s="397"/>
    </row>
    <row r="168" spans="4:12" x14ac:dyDescent="0.3">
      <c r="D168" s="479"/>
      <c r="E168" s="396">
        <v>4</v>
      </c>
      <c r="F168" s="433" t="s">
        <v>700</v>
      </c>
      <c r="G168" s="396">
        <v>4</v>
      </c>
      <c r="H168" s="692" t="s">
        <v>810</v>
      </c>
      <c r="I168" s="396">
        <v>8</v>
      </c>
      <c r="J168" s="402" t="s">
        <v>629</v>
      </c>
      <c r="K168" s="396">
        <v>8</v>
      </c>
      <c r="L168" s="690" t="s">
        <v>628</v>
      </c>
    </row>
    <row r="169" spans="4:12" x14ac:dyDescent="0.3">
      <c r="D169" s="479"/>
      <c r="F169" s="434" t="s">
        <v>193</v>
      </c>
      <c r="G169" s="396">
        <v>3</v>
      </c>
      <c r="H169" s="693"/>
      <c r="I169" s="396">
        <v>3</v>
      </c>
      <c r="J169" s="481" t="s">
        <v>630</v>
      </c>
      <c r="K169" s="396">
        <v>3</v>
      </c>
      <c r="L169" s="690"/>
    </row>
    <row r="170" spans="4:12" x14ac:dyDescent="0.3">
      <c r="D170" s="479"/>
      <c r="F170" s="479"/>
      <c r="J170" s="473">
        <v>7</v>
      </c>
    </row>
    <row r="171" spans="4:12" x14ac:dyDescent="0.3">
      <c r="D171" s="479"/>
      <c r="F171" s="479"/>
      <c r="G171" s="396"/>
      <c r="J171" s="481" t="s">
        <v>0</v>
      </c>
    </row>
    <row r="172" spans="4:12" x14ac:dyDescent="0.3">
      <c r="D172" s="479"/>
      <c r="F172" s="434"/>
      <c r="G172" s="396"/>
    </row>
    <row r="173" spans="4:12" x14ac:dyDescent="0.3">
      <c r="D173" s="479"/>
      <c r="F173" s="434" t="s">
        <v>193</v>
      </c>
      <c r="G173" s="396">
        <v>4</v>
      </c>
      <c r="H173" s="692" t="s">
        <v>811</v>
      </c>
      <c r="I173" s="396">
        <v>8</v>
      </c>
      <c r="J173" s="402" t="s">
        <v>629</v>
      </c>
      <c r="K173" s="396">
        <v>8</v>
      </c>
      <c r="L173" s="690" t="s">
        <v>628</v>
      </c>
    </row>
    <row r="174" spans="4:12" x14ac:dyDescent="0.3">
      <c r="D174" s="479"/>
      <c r="F174" s="434"/>
      <c r="G174" s="396"/>
      <c r="H174" s="693"/>
      <c r="I174" s="396"/>
      <c r="J174" s="541" t="s">
        <v>630</v>
      </c>
      <c r="K174" s="396">
        <v>3</v>
      </c>
      <c r="L174" s="690"/>
    </row>
    <row r="175" spans="4:12" x14ac:dyDescent="0.3">
      <c r="D175" s="479"/>
      <c r="F175" s="434"/>
      <c r="J175" s="473">
        <v>7</v>
      </c>
    </row>
    <row r="176" spans="4:12" x14ac:dyDescent="0.3">
      <c r="D176" s="479"/>
      <c r="F176" s="434"/>
      <c r="G176" s="396"/>
      <c r="J176" s="541" t="s">
        <v>811</v>
      </c>
    </row>
    <row r="177" spans="4:12" x14ac:dyDescent="0.3">
      <c r="D177" s="479"/>
      <c r="F177" s="434"/>
      <c r="G177" s="396"/>
    </row>
    <row r="178" spans="4:12" x14ac:dyDescent="0.3">
      <c r="D178" s="479"/>
      <c r="F178" s="434" t="s">
        <v>193</v>
      </c>
      <c r="G178" s="396">
        <v>4</v>
      </c>
      <c r="H178" s="692" t="s">
        <v>812</v>
      </c>
      <c r="I178" s="396">
        <v>8</v>
      </c>
      <c r="J178" s="402" t="s">
        <v>629</v>
      </c>
      <c r="K178" s="396">
        <v>8</v>
      </c>
      <c r="L178" s="690" t="s">
        <v>628</v>
      </c>
    </row>
    <row r="179" spans="4:12" x14ac:dyDescent="0.3">
      <c r="D179" s="479"/>
      <c r="F179" s="434"/>
      <c r="G179" s="396"/>
      <c r="H179" s="693"/>
      <c r="I179" s="396"/>
      <c r="J179" s="540" t="s">
        <v>630</v>
      </c>
      <c r="K179" s="396">
        <v>3</v>
      </c>
      <c r="L179" s="690"/>
    </row>
    <row r="180" spans="4:12" x14ac:dyDescent="0.3">
      <c r="D180" s="479"/>
      <c r="F180" s="434"/>
      <c r="J180" s="473">
        <v>7</v>
      </c>
    </row>
    <row r="181" spans="4:12" x14ac:dyDescent="0.3">
      <c r="D181" s="479"/>
      <c r="F181" s="434"/>
      <c r="G181" s="396"/>
      <c r="J181" s="540" t="s">
        <v>813</v>
      </c>
    </row>
    <row r="182" spans="4:12" x14ac:dyDescent="0.3">
      <c r="D182" s="479"/>
      <c r="F182" s="434" t="s">
        <v>200</v>
      </c>
    </row>
    <row r="183" spans="4:12" x14ac:dyDescent="0.3">
      <c r="D183" s="479"/>
      <c r="F183" s="434" t="s">
        <v>193</v>
      </c>
      <c r="G183" s="397">
        <v>4</v>
      </c>
      <c r="H183" s="465" t="s">
        <v>52</v>
      </c>
      <c r="I183" s="397">
        <v>4</v>
      </c>
      <c r="J183" s="402" t="s">
        <v>629</v>
      </c>
      <c r="K183" s="396">
        <v>8</v>
      </c>
      <c r="L183" s="690" t="s">
        <v>628</v>
      </c>
    </row>
    <row r="184" spans="4:12" x14ac:dyDescent="0.3">
      <c r="D184" s="479"/>
      <c r="F184" s="479"/>
      <c r="H184" s="426"/>
      <c r="I184" s="396"/>
      <c r="J184" s="455" t="s">
        <v>630</v>
      </c>
      <c r="K184" s="396">
        <v>3</v>
      </c>
      <c r="L184" s="690"/>
    </row>
    <row r="185" spans="4:12" x14ac:dyDescent="0.3">
      <c r="D185" s="479"/>
      <c r="F185" s="479"/>
      <c r="H185" s="456" t="s">
        <v>200</v>
      </c>
      <c r="J185" s="473">
        <v>7</v>
      </c>
    </row>
    <row r="186" spans="4:12" x14ac:dyDescent="0.3">
      <c r="D186" s="480"/>
      <c r="E186" s="396">
        <v>3</v>
      </c>
      <c r="F186" s="480"/>
      <c r="H186" s="454" t="s">
        <v>193</v>
      </c>
      <c r="I186" s="396" t="s">
        <v>637</v>
      </c>
      <c r="J186" s="455" t="s">
        <v>52</v>
      </c>
    </row>
  </sheetData>
  <mergeCells count="53">
    <mergeCell ref="H168:H169"/>
    <mergeCell ref="H173:H174"/>
    <mergeCell ref="L173:L174"/>
    <mergeCell ref="H178:H179"/>
    <mergeCell ref="L178:L179"/>
    <mergeCell ref="L168:L169"/>
    <mergeCell ref="J53:L53"/>
    <mergeCell ref="J71:L71"/>
    <mergeCell ref="L89:N89"/>
    <mergeCell ref="L100:N100"/>
    <mergeCell ref="L86:L87"/>
    <mergeCell ref="L97:L98"/>
    <mergeCell ref="J163:J164"/>
    <mergeCell ref="P126:P127"/>
    <mergeCell ref="J128:J129"/>
    <mergeCell ref="L134:L135"/>
    <mergeCell ref="P134:P135"/>
    <mergeCell ref="P97:P98"/>
    <mergeCell ref="L102:L103"/>
    <mergeCell ref="P102:P103"/>
    <mergeCell ref="J108:J109"/>
    <mergeCell ref="N108:N109"/>
    <mergeCell ref="L105:L106"/>
    <mergeCell ref="J111:L111"/>
    <mergeCell ref="L129:N129"/>
    <mergeCell ref="J113:J114"/>
    <mergeCell ref="N113:N114"/>
    <mergeCell ref="L126:L127"/>
    <mergeCell ref="P86:P87"/>
    <mergeCell ref="L91:L92"/>
    <mergeCell ref="P91:P92"/>
    <mergeCell ref="J55:J56"/>
    <mergeCell ref="N55:N56"/>
    <mergeCell ref="J68:J69"/>
    <mergeCell ref="N68:N69"/>
    <mergeCell ref="J73:J74"/>
    <mergeCell ref="N73:N74"/>
    <mergeCell ref="L183:L184"/>
    <mergeCell ref="N50:N51"/>
    <mergeCell ref="B7:B8"/>
    <mergeCell ref="H14:H15"/>
    <mergeCell ref="H19:H20"/>
    <mergeCell ref="J32:J33"/>
    <mergeCell ref="N32:N33"/>
    <mergeCell ref="J37:J38"/>
    <mergeCell ref="N37:N38"/>
    <mergeCell ref="L137:N137"/>
    <mergeCell ref="J136:J137"/>
    <mergeCell ref="J151:J152"/>
    <mergeCell ref="J156:J157"/>
    <mergeCell ref="J35:L35"/>
    <mergeCell ref="J50:J51"/>
    <mergeCell ref="L94:L95"/>
  </mergeCells>
  <pageMargins left="0.43307086614173229" right="0.39370078740157483" top="0.35433070866141736" bottom="0.35433070866141736" header="0" footer="0"/>
  <pageSetup paperSize="9" scale="55" orientation="portrait" r:id="rId1"/>
  <rowBreaks count="1" manualBreakCount="1">
    <brk id="107" max="16383" man="1"/>
  </row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22"/>
  <dimension ref="B1:O371"/>
  <sheetViews>
    <sheetView showGridLines="0" tabSelected="1" workbookViewId="0">
      <selection activeCell="Q35" sqref="Q35"/>
    </sheetView>
  </sheetViews>
  <sheetFormatPr baseColWidth="10" defaultRowHeight="14.4" x14ac:dyDescent="0.3"/>
  <cols>
    <col min="1" max="1" width="3.44140625" style="1" bestFit="1" customWidth="1"/>
    <col min="2" max="2" width="17.5546875" style="1" bestFit="1" customWidth="1"/>
    <col min="3" max="3" width="3.44140625" style="396" bestFit="1" customWidth="1"/>
    <col min="4" max="4" width="20.33203125" style="1" customWidth="1"/>
    <col min="5" max="5" width="3.44140625" style="397" bestFit="1" customWidth="1"/>
    <col min="6" max="6" width="18" style="1" customWidth="1"/>
    <col min="7" max="7" width="3.44140625" style="1" bestFit="1" customWidth="1"/>
    <col min="8" max="8" width="17.6640625" style="1" bestFit="1" customWidth="1"/>
    <col min="9" max="9" width="3.44140625" style="1" bestFit="1" customWidth="1"/>
    <col min="10" max="10" width="17.6640625" style="1" bestFit="1" customWidth="1"/>
    <col min="11" max="11" width="3.44140625" style="1" bestFit="1" customWidth="1"/>
    <col min="12" max="12" width="17.88671875" style="1" customWidth="1"/>
    <col min="13" max="13" width="3.44140625" style="1" bestFit="1" customWidth="1"/>
    <col min="14" max="14" width="17.6640625" style="1" bestFit="1" customWidth="1"/>
    <col min="15" max="15" width="3.44140625" style="1" bestFit="1" customWidth="1"/>
    <col min="16" max="16" width="17.6640625" style="1" bestFit="1" customWidth="1"/>
    <col min="17" max="16384" width="11.5546875" style="1"/>
  </cols>
  <sheetData>
    <row r="1" spans="2:15" ht="21" x14ac:dyDescent="0.4">
      <c r="D1" s="422" t="s">
        <v>702</v>
      </c>
    </row>
    <row r="2" spans="2:15" x14ac:dyDescent="0.3">
      <c r="M2" s="397">
        <v>6</v>
      </c>
      <c r="N2" s="47" t="s">
        <v>631</v>
      </c>
    </row>
    <row r="3" spans="2:15" x14ac:dyDescent="0.3">
      <c r="C3" s="396">
        <v>3</v>
      </c>
      <c r="D3" s="497" t="s">
        <v>703</v>
      </c>
      <c r="J3" s="47"/>
      <c r="K3" s="397"/>
      <c r="M3" s="396">
        <v>4</v>
      </c>
      <c r="N3" s="47" t="s">
        <v>673</v>
      </c>
    </row>
    <row r="4" spans="2:15" x14ac:dyDescent="0.3">
      <c r="D4" s="397">
        <v>6</v>
      </c>
      <c r="E4" s="1"/>
      <c r="F4" s="290"/>
      <c r="J4" s="397"/>
      <c r="L4" s="396"/>
      <c r="M4" s="396">
        <v>3</v>
      </c>
      <c r="N4" s="47" t="s">
        <v>674</v>
      </c>
    </row>
    <row r="5" spans="2:15" ht="18" x14ac:dyDescent="0.3">
      <c r="D5" s="402" t="s">
        <v>704</v>
      </c>
      <c r="E5" s="496">
        <v>3</v>
      </c>
      <c r="F5" s="406" t="s">
        <v>2</v>
      </c>
      <c r="J5" s="47"/>
      <c r="L5" s="432">
        <v>7</v>
      </c>
      <c r="M5" s="396">
        <v>7</v>
      </c>
      <c r="N5" s="401" t="s">
        <v>675</v>
      </c>
    </row>
    <row r="6" spans="2:15" ht="15" thickBot="1" x14ac:dyDescent="0.35">
      <c r="B6" s="691"/>
      <c r="D6" s="397">
        <v>6</v>
      </c>
      <c r="F6" s="290"/>
      <c r="J6" s="47"/>
      <c r="M6" s="396" t="s">
        <v>634</v>
      </c>
      <c r="N6" s="400" t="s">
        <v>635</v>
      </c>
    </row>
    <row r="7" spans="2:15" ht="15" thickBot="1" x14ac:dyDescent="0.35">
      <c r="B7" s="691"/>
      <c r="D7" s="402" t="s">
        <v>704</v>
      </c>
      <c r="E7" s="496">
        <v>3</v>
      </c>
      <c r="F7" s="536" t="s">
        <v>431</v>
      </c>
      <c r="J7" s="47"/>
      <c r="M7" s="396">
        <v>2</v>
      </c>
      <c r="N7" s="400" t="s">
        <v>665</v>
      </c>
    </row>
    <row r="8" spans="2:15" x14ac:dyDescent="0.3">
      <c r="B8" s="691"/>
      <c r="D8" s="397">
        <v>6</v>
      </c>
      <c r="F8" s="290"/>
      <c r="J8" s="47"/>
      <c r="M8" s="397"/>
      <c r="N8" s="400"/>
      <c r="O8" s="397" t="s">
        <v>640</v>
      </c>
    </row>
    <row r="9" spans="2:15" x14ac:dyDescent="0.3">
      <c r="B9" s="691"/>
      <c r="D9" s="466" t="s">
        <v>278</v>
      </c>
      <c r="E9" s="397">
        <v>4</v>
      </c>
      <c r="F9" s="402" t="s">
        <v>629</v>
      </c>
      <c r="G9" s="396">
        <v>8</v>
      </c>
      <c r="H9" s="690" t="s">
        <v>628</v>
      </c>
      <c r="J9" s="47"/>
      <c r="M9" s="396"/>
      <c r="N9" s="400"/>
    </row>
    <row r="10" spans="2:15" x14ac:dyDescent="0.3">
      <c r="B10" s="691"/>
      <c r="D10" s="413"/>
      <c r="E10" s="397">
        <v>3</v>
      </c>
      <c r="F10" s="407" t="s">
        <v>630</v>
      </c>
      <c r="G10" s="396">
        <v>3</v>
      </c>
      <c r="H10" s="690"/>
      <c r="J10" s="47"/>
      <c r="M10" s="396"/>
      <c r="N10" s="400"/>
    </row>
    <row r="11" spans="2:15" ht="15" thickBot="1" x14ac:dyDescent="0.35">
      <c r="B11" s="691"/>
      <c r="D11" s="413"/>
      <c r="E11" s="1"/>
      <c r="F11" s="473">
        <v>7</v>
      </c>
      <c r="J11" s="47"/>
      <c r="M11" s="396"/>
      <c r="N11" s="400"/>
    </row>
    <row r="12" spans="2:15" ht="15" thickBot="1" x14ac:dyDescent="0.35">
      <c r="B12" s="691"/>
      <c r="D12" s="413"/>
      <c r="E12" s="396" t="s">
        <v>637</v>
      </c>
      <c r="F12" s="530" t="s">
        <v>278</v>
      </c>
      <c r="J12" s="47"/>
      <c r="M12" s="396"/>
      <c r="N12" s="400"/>
    </row>
    <row r="13" spans="2:15" x14ac:dyDescent="0.3">
      <c r="B13" s="691"/>
      <c r="D13" s="521" t="s">
        <v>219</v>
      </c>
      <c r="E13" s="396"/>
      <c r="F13" s="529" t="s">
        <v>219</v>
      </c>
      <c r="J13" s="47"/>
      <c r="M13" s="396"/>
      <c r="N13" s="400"/>
    </row>
    <row r="14" spans="2:15" x14ac:dyDescent="0.3">
      <c r="B14" s="691"/>
      <c r="D14" s="523" t="s">
        <v>701</v>
      </c>
      <c r="E14" s="396"/>
      <c r="F14" s="522" t="s">
        <v>217</v>
      </c>
      <c r="J14" s="47"/>
      <c r="M14" s="396"/>
      <c r="N14" s="400"/>
    </row>
    <row r="15" spans="2:15" x14ac:dyDescent="0.3">
      <c r="B15" s="691"/>
      <c r="D15" s="397">
        <v>6</v>
      </c>
      <c r="F15" s="290"/>
      <c r="J15" s="47"/>
      <c r="M15" s="396"/>
      <c r="N15" s="400"/>
    </row>
    <row r="16" spans="2:15" x14ac:dyDescent="0.3">
      <c r="B16" s="691"/>
      <c r="D16" s="499" t="s">
        <v>745</v>
      </c>
      <c r="E16" s="397">
        <v>4</v>
      </c>
      <c r="F16" s="449" t="s">
        <v>31</v>
      </c>
      <c r="G16" s="396">
        <v>4</v>
      </c>
      <c r="H16" s="692" t="s">
        <v>5</v>
      </c>
      <c r="I16" s="397">
        <v>4</v>
      </c>
      <c r="J16" s="402" t="s">
        <v>629</v>
      </c>
      <c r="K16" s="396">
        <v>8</v>
      </c>
      <c r="L16" s="690" t="s">
        <v>628</v>
      </c>
      <c r="M16" s="396"/>
      <c r="N16" s="400"/>
    </row>
    <row r="17" spans="2:14" x14ac:dyDescent="0.3">
      <c r="B17" s="691"/>
      <c r="D17" s="503" t="s">
        <v>41</v>
      </c>
      <c r="F17" s="448" t="s">
        <v>42</v>
      </c>
      <c r="G17" s="396">
        <v>3</v>
      </c>
      <c r="H17" s="693"/>
      <c r="I17" s="396">
        <v>3</v>
      </c>
      <c r="J17" s="404" t="s">
        <v>630</v>
      </c>
      <c r="K17" s="396">
        <v>3</v>
      </c>
      <c r="L17" s="690"/>
      <c r="M17" s="396"/>
      <c r="N17" s="400"/>
    </row>
    <row r="18" spans="2:14" x14ac:dyDescent="0.3">
      <c r="B18" s="691"/>
      <c r="D18" s="500"/>
      <c r="E18" s="1"/>
      <c r="F18" s="429"/>
      <c r="G18" s="47"/>
      <c r="H18" s="47"/>
      <c r="I18" s="47"/>
      <c r="J18" s="473">
        <v>7</v>
      </c>
      <c r="K18" s="47"/>
      <c r="L18" s="47"/>
      <c r="M18" s="396"/>
      <c r="N18" s="400"/>
    </row>
    <row r="19" spans="2:14" x14ac:dyDescent="0.3">
      <c r="B19" s="691"/>
      <c r="D19" s="506" t="s">
        <v>238</v>
      </c>
      <c r="E19" s="396">
        <v>3</v>
      </c>
      <c r="F19" s="489" t="s">
        <v>672</v>
      </c>
      <c r="G19" s="396" t="s">
        <v>637</v>
      </c>
      <c r="H19" s="696" t="s">
        <v>690</v>
      </c>
      <c r="I19" s="697"/>
      <c r="J19" s="698"/>
      <c r="M19" s="396"/>
      <c r="N19" s="400"/>
    </row>
    <row r="20" spans="2:14" x14ac:dyDescent="0.3">
      <c r="B20" s="691"/>
      <c r="D20" s="397">
        <v>6</v>
      </c>
      <c r="E20" s="1"/>
      <c r="F20" s="397"/>
      <c r="G20" s="396"/>
      <c r="M20" s="396"/>
      <c r="N20" s="400"/>
    </row>
    <row r="21" spans="2:14" x14ac:dyDescent="0.3">
      <c r="B21" s="691"/>
      <c r="D21" s="498" t="s">
        <v>705</v>
      </c>
      <c r="E21" s="1"/>
      <c r="F21" s="290"/>
      <c r="J21" s="47"/>
      <c r="M21" s="396"/>
      <c r="N21" s="400"/>
    </row>
    <row r="22" spans="2:14" x14ac:dyDescent="0.3">
      <c r="B22" s="691"/>
      <c r="D22" s="502" t="s">
        <v>706</v>
      </c>
      <c r="E22" s="397">
        <v>4</v>
      </c>
      <c r="F22" s="449" t="s">
        <v>707</v>
      </c>
      <c r="G22" s="396">
        <v>4</v>
      </c>
      <c r="H22" s="490" t="s">
        <v>11</v>
      </c>
      <c r="I22" s="397">
        <v>4</v>
      </c>
      <c r="J22" s="402" t="s">
        <v>629</v>
      </c>
      <c r="K22" s="396">
        <v>8</v>
      </c>
      <c r="L22" s="690" t="s">
        <v>628</v>
      </c>
      <c r="M22" s="396"/>
      <c r="N22" s="400"/>
    </row>
    <row r="23" spans="2:14" x14ac:dyDescent="0.3">
      <c r="B23" s="691"/>
      <c r="D23" s="502" t="s">
        <v>708</v>
      </c>
      <c r="F23" s="413"/>
      <c r="G23" s="396">
        <v>3</v>
      </c>
      <c r="H23" s="491"/>
      <c r="I23" s="396">
        <v>3</v>
      </c>
      <c r="J23" s="501" t="s">
        <v>630</v>
      </c>
      <c r="K23" s="396">
        <v>3</v>
      </c>
      <c r="L23" s="690"/>
      <c r="M23" s="396"/>
      <c r="N23" s="400"/>
    </row>
    <row r="24" spans="2:14" x14ac:dyDescent="0.3">
      <c r="B24" s="691"/>
      <c r="D24" s="503"/>
      <c r="F24" s="413" t="s">
        <v>715</v>
      </c>
      <c r="G24" s="47"/>
      <c r="H24" s="47"/>
      <c r="I24" s="47"/>
      <c r="J24" s="473">
        <v>7</v>
      </c>
      <c r="K24" s="47"/>
      <c r="L24" s="47"/>
      <c r="M24" s="396"/>
      <c r="N24" s="400"/>
    </row>
    <row r="25" spans="2:14" x14ac:dyDescent="0.3">
      <c r="B25" s="691"/>
      <c r="D25" s="514" t="s">
        <v>240</v>
      </c>
      <c r="E25" s="396">
        <v>3</v>
      </c>
      <c r="F25" s="467" t="s">
        <v>716</v>
      </c>
      <c r="G25" s="396" t="s">
        <v>637</v>
      </c>
      <c r="H25" s="707" t="s">
        <v>710</v>
      </c>
      <c r="I25" s="708"/>
      <c r="J25" s="709"/>
      <c r="M25" s="396"/>
      <c r="N25" s="400"/>
    </row>
    <row r="26" spans="2:14" x14ac:dyDescent="0.3">
      <c r="B26" s="691"/>
      <c r="D26" s="503"/>
      <c r="F26" s="290"/>
      <c r="J26" s="47"/>
      <c r="M26" s="396"/>
      <c r="N26" s="400"/>
    </row>
    <row r="27" spans="2:14" x14ac:dyDescent="0.3">
      <c r="B27" s="691"/>
      <c r="D27" s="502" t="s">
        <v>711</v>
      </c>
      <c r="E27" s="397">
        <v>4</v>
      </c>
      <c r="F27" s="449" t="s">
        <v>239</v>
      </c>
      <c r="G27" s="396">
        <v>4</v>
      </c>
      <c r="H27" s="692" t="s">
        <v>11</v>
      </c>
      <c r="I27" s="397">
        <v>4</v>
      </c>
      <c r="J27" s="402" t="s">
        <v>629</v>
      </c>
      <c r="K27" s="396">
        <v>8</v>
      </c>
      <c r="L27" s="690" t="s">
        <v>628</v>
      </c>
      <c r="M27" s="396"/>
      <c r="N27" s="400"/>
    </row>
    <row r="28" spans="2:14" x14ac:dyDescent="0.3">
      <c r="B28" s="691"/>
      <c r="D28" s="502" t="s">
        <v>712</v>
      </c>
      <c r="F28" s="413" t="s">
        <v>714</v>
      </c>
      <c r="G28" s="396">
        <v>3</v>
      </c>
      <c r="H28" s="693"/>
      <c r="I28" s="396">
        <v>3</v>
      </c>
      <c r="J28" s="501" t="s">
        <v>630</v>
      </c>
      <c r="K28" s="396">
        <v>3</v>
      </c>
      <c r="L28" s="690"/>
      <c r="M28" s="396"/>
      <c r="N28" s="400"/>
    </row>
    <row r="29" spans="2:14" x14ac:dyDescent="0.3">
      <c r="B29" s="691"/>
      <c r="D29" s="503"/>
      <c r="F29" s="695" t="s">
        <v>713</v>
      </c>
      <c r="G29" s="47"/>
      <c r="H29" s="47"/>
      <c r="I29" s="47"/>
      <c r="J29" s="473">
        <v>7</v>
      </c>
      <c r="K29" s="47"/>
      <c r="L29" s="47"/>
      <c r="M29" s="396"/>
      <c r="N29" s="400"/>
    </row>
    <row r="30" spans="2:14" x14ac:dyDescent="0.3">
      <c r="B30" s="691"/>
      <c r="D30" s="514" t="s">
        <v>240</v>
      </c>
      <c r="E30" s="396">
        <v>3</v>
      </c>
      <c r="F30" s="706"/>
      <c r="G30" s="396" t="s">
        <v>637</v>
      </c>
      <c r="H30" s="707" t="s">
        <v>709</v>
      </c>
      <c r="I30" s="708"/>
      <c r="J30" s="709"/>
    </row>
    <row r="31" spans="2:14" x14ac:dyDescent="0.3">
      <c r="B31" s="484"/>
      <c r="D31" s="479"/>
      <c r="E31" s="1"/>
    </row>
    <row r="32" spans="2:14" x14ac:dyDescent="0.3">
      <c r="B32" s="484"/>
      <c r="D32" s="502" t="s">
        <v>725</v>
      </c>
      <c r="E32" s="397">
        <v>4</v>
      </c>
      <c r="F32" s="449" t="s">
        <v>10</v>
      </c>
      <c r="G32" s="397">
        <v>4</v>
      </c>
      <c r="H32" s="402" t="s">
        <v>629</v>
      </c>
      <c r="I32" s="396">
        <v>8</v>
      </c>
      <c r="J32" s="690" t="s">
        <v>628</v>
      </c>
    </row>
    <row r="33" spans="2:12" x14ac:dyDescent="0.3">
      <c r="B33" s="484"/>
      <c r="D33" s="479"/>
      <c r="E33" s="1"/>
      <c r="F33" s="448"/>
      <c r="G33" s="396">
        <v>3</v>
      </c>
      <c r="H33" s="504" t="s">
        <v>630</v>
      </c>
      <c r="I33" s="396">
        <v>3</v>
      </c>
      <c r="J33" s="690"/>
    </row>
    <row r="34" spans="2:12" x14ac:dyDescent="0.3">
      <c r="B34" s="484"/>
      <c r="D34" s="479"/>
      <c r="E34" s="1"/>
      <c r="F34" s="439" t="s">
        <v>717</v>
      </c>
      <c r="H34" s="473">
        <v>7</v>
      </c>
    </row>
    <row r="35" spans="2:12" x14ac:dyDescent="0.3">
      <c r="B35" s="484"/>
      <c r="D35" s="479"/>
      <c r="E35" s="396">
        <v>3</v>
      </c>
      <c r="F35" s="505" t="s">
        <v>238</v>
      </c>
      <c r="G35" s="396" t="s">
        <v>637</v>
      </c>
      <c r="H35" s="504" t="s">
        <v>10</v>
      </c>
    </row>
    <row r="36" spans="2:12" x14ac:dyDescent="0.3">
      <c r="B36" s="570"/>
      <c r="D36" s="502" t="s">
        <v>725</v>
      </c>
      <c r="E36" s="396"/>
    </row>
    <row r="37" spans="2:12" x14ac:dyDescent="0.3">
      <c r="B37" s="570"/>
      <c r="D37" s="502" t="s">
        <v>1075</v>
      </c>
      <c r="E37" s="396" t="s">
        <v>634</v>
      </c>
    </row>
    <row r="38" spans="2:12" x14ac:dyDescent="0.3">
      <c r="B38" s="570"/>
      <c r="D38" s="479"/>
      <c r="E38" s="397">
        <v>4</v>
      </c>
      <c r="F38" s="449" t="s">
        <v>1074</v>
      </c>
      <c r="H38" s="402" t="s">
        <v>629</v>
      </c>
      <c r="I38" s="396">
        <v>8</v>
      </c>
      <c r="J38" s="690" t="s">
        <v>628</v>
      </c>
    </row>
    <row r="39" spans="2:12" x14ac:dyDescent="0.3">
      <c r="B39" s="570"/>
      <c r="D39" s="479"/>
      <c r="E39" s="396">
        <v>3</v>
      </c>
      <c r="F39" s="467"/>
      <c r="G39" s="396">
        <v>3</v>
      </c>
      <c r="H39" s="455" t="s">
        <v>630</v>
      </c>
      <c r="I39" s="396">
        <v>3</v>
      </c>
      <c r="J39" s="690"/>
    </row>
    <row r="40" spans="2:12" x14ac:dyDescent="0.3">
      <c r="B40" s="570"/>
      <c r="D40" s="479"/>
      <c r="E40" s="396"/>
    </row>
    <row r="41" spans="2:12" x14ac:dyDescent="0.3">
      <c r="B41" s="484"/>
      <c r="D41" s="511" t="s">
        <v>734</v>
      </c>
      <c r="E41" s="1"/>
    </row>
    <row r="42" spans="2:12" x14ac:dyDescent="0.3">
      <c r="B42" s="484"/>
      <c r="D42" s="520" t="s">
        <v>735</v>
      </c>
      <c r="E42" s="397">
        <v>4</v>
      </c>
      <c r="F42" s="449" t="s">
        <v>31</v>
      </c>
      <c r="G42" s="396">
        <v>4</v>
      </c>
      <c r="H42" s="692" t="s">
        <v>5</v>
      </c>
      <c r="I42" s="397">
        <v>4</v>
      </c>
      <c r="J42" s="402" t="s">
        <v>629</v>
      </c>
      <c r="K42" s="396">
        <v>8</v>
      </c>
      <c r="L42" s="690" t="s">
        <v>628</v>
      </c>
    </row>
    <row r="43" spans="2:12" x14ac:dyDescent="0.3">
      <c r="B43" s="484"/>
      <c r="D43" s="479"/>
      <c r="F43" s="448"/>
      <c r="G43" s="396">
        <v>3</v>
      </c>
      <c r="H43" s="693"/>
      <c r="I43" s="396">
        <v>3</v>
      </c>
      <c r="J43" s="404" t="s">
        <v>630</v>
      </c>
      <c r="K43" s="396">
        <v>3</v>
      </c>
      <c r="L43" s="690"/>
    </row>
    <row r="44" spans="2:12" x14ac:dyDescent="0.3">
      <c r="B44" s="484"/>
      <c r="D44" s="513" t="s">
        <v>733</v>
      </c>
      <c r="E44" s="396">
        <v>3</v>
      </c>
      <c r="F44" s="429"/>
      <c r="G44" s="47"/>
      <c r="H44" s="47"/>
      <c r="I44" s="47"/>
      <c r="J44" s="473">
        <v>7</v>
      </c>
      <c r="K44" s="47"/>
      <c r="L44" s="47"/>
    </row>
    <row r="45" spans="2:12" x14ac:dyDescent="0.3">
      <c r="B45" s="484"/>
      <c r="D45" s="479"/>
      <c r="F45" s="489" t="s">
        <v>672</v>
      </c>
      <c r="G45" s="396" t="s">
        <v>637</v>
      </c>
      <c r="H45" s="696" t="s">
        <v>690</v>
      </c>
      <c r="I45" s="697"/>
      <c r="J45" s="698"/>
    </row>
    <row r="46" spans="2:12" x14ac:dyDescent="0.3">
      <c r="B46" s="484"/>
      <c r="D46" s="479"/>
      <c r="E46" s="1"/>
      <c r="F46" s="397"/>
      <c r="G46" s="396"/>
    </row>
    <row r="47" spans="2:12" x14ac:dyDescent="0.3">
      <c r="B47" s="484"/>
      <c r="D47" s="520" t="s">
        <v>736</v>
      </c>
      <c r="E47" s="396">
        <v>4</v>
      </c>
      <c r="F47" s="430" t="s">
        <v>48</v>
      </c>
      <c r="G47" s="396">
        <v>4</v>
      </c>
      <c r="H47" s="692" t="s">
        <v>5</v>
      </c>
      <c r="I47" s="397">
        <v>4</v>
      </c>
      <c r="J47" s="402" t="s">
        <v>629</v>
      </c>
      <c r="K47" s="396">
        <v>8</v>
      </c>
      <c r="L47" s="690" t="s">
        <v>628</v>
      </c>
    </row>
    <row r="48" spans="2:12" x14ac:dyDescent="0.3">
      <c r="B48" s="484"/>
      <c r="D48" s="479"/>
      <c r="F48" s="487"/>
      <c r="G48" s="396">
        <v>3</v>
      </c>
      <c r="H48" s="693"/>
      <c r="I48" s="396">
        <v>3</v>
      </c>
      <c r="J48" s="404" t="s">
        <v>630</v>
      </c>
      <c r="K48" s="396">
        <v>3</v>
      </c>
      <c r="L48" s="690"/>
    </row>
    <row r="49" spans="2:14" x14ac:dyDescent="0.3">
      <c r="B49" s="484"/>
      <c r="D49" s="513" t="s">
        <v>733</v>
      </c>
      <c r="E49" s="396">
        <v>3</v>
      </c>
      <c r="F49" s="487"/>
      <c r="J49" s="473">
        <v>7</v>
      </c>
    </row>
    <row r="50" spans="2:14" x14ac:dyDescent="0.3">
      <c r="B50" s="484"/>
      <c r="D50" s="479"/>
      <c r="F50" s="489" t="s">
        <v>660</v>
      </c>
      <c r="G50" s="396" t="s">
        <v>637</v>
      </c>
      <c r="H50" s="696" t="s">
        <v>687</v>
      </c>
      <c r="I50" s="697"/>
      <c r="J50" s="698"/>
    </row>
    <row r="51" spans="2:14" x14ac:dyDescent="0.3">
      <c r="B51" s="484"/>
      <c r="D51" s="479"/>
      <c r="E51" s="1"/>
      <c r="F51" s="397"/>
      <c r="G51" s="396"/>
    </row>
    <row r="52" spans="2:14" x14ac:dyDescent="0.3">
      <c r="B52" s="484"/>
      <c r="D52" s="520" t="s">
        <v>737</v>
      </c>
      <c r="E52" s="396">
        <v>4</v>
      </c>
      <c r="F52" s="430" t="s">
        <v>335</v>
      </c>
      <c r="G52" s="396">
        <v>4</v>
      </c>
      <c r="H52" s="692" t="s">
        <v>5</v>
      </c>
      <c r="I52" s="397">
        <v>4</v>
      </c>
      <c r="J52" s="402" t="s">
        <v>629</v>
      </c>
      <c r="K52" s="396">
        <v>8</v>
      </c>
      <c r="L52" s="690" t="s">
        <v>628</v>
      </c>
    </row>
    <row r="53" spans="2:14" x14ac:dyDescent="0.3">
      <c r="B53" s="484"/>
      <c r="D53" s="479"/>
      <c r="F53" s="477" t="s">
        <v>346</v>
      </c>
      <c r="G53" s="396">
        <v>3</v>
      </c>
      <c r="H53" s="693"/>
      <c r="I53" s="396">
        <v>3</v>
      </c>
      <c r="J53" s="404" t="s">
        <v>630</v>
      </c>
      <c r="K53" s="396">
        <v>3</v>
      </c>
      <c r="L53" s="690"/>
    </row>
    <row r="54" spans="2:14" x14ac:dyDescent="0.3">
      <c r="B54" s="484"/>
      <c r="D54" s="479"/>
      <c r="E54" s="1"/>
      <c r="F54" s="492" t="s">
        <v>720</v>
      </c>
      <c r="J54" s="473">
        <v>7</v>
      </c>
    </row>
    <row r="55" spans="2:14" ht="20.399999999999999" x14ac:dyDescent="0.3">
      <c r="B55" s="484"/>
      <c r="D55" s="479"/>
      <c r="E55" s="1"/>
      <c r="F55" s="492" t="s">
        <v>719</v>
      </c>
      <c r="G55" s="396" t="s">
        <v>637</v>
      </c>
      <c r="H55" s="696" t="s">
        <v>687</v>
      </c>
      <c r="I55" s="697"/>
      <c r="J55" s="698"/>
    </row>
    <row r="56" spans="2:14" x14ac:dyDescent="0.3">
      <c r="B56" s="484"/>
      <c r="D56" s="479"/>
      <c r="E56" s="396"/>
      <c r="F56" s="429"/>
    </row>
    <row r="57" spans="2:14" x14ac:dyDescent="0.3">
      <c r="B57" s="484"/>
      <c r="D57" s="479"/>
      <c r="E57" s="396"/>
      <c r="F57" s="477" t="s">
        <v>724</v>
      </c>
      <c r="G57" s="396">
        <v>4</v>
      </c>
      <c r="H57" s="449" t="s">
        <v>29</v>
      </c>
      <c r="I57" s="396">
        <v>4</v>
      </c>
      <c r="J57" s="694" t="s">
        <v>721</v>
      </c>
      <c r="K57" s="397">
        <v>4</v>
      </c>
      <c r="L57" s="466" t="s">
        <v>629</v>
      </c>
      <c r="M57" s="396">
        <v>8</v>
      </c>
      <c r="N57" s="690" t="s">
        <v>628</v>
      </c>
    </row>
    <row r="58" spans="2:14" x14ac:dyDescent="0.3">
      <c r="B58" s="484"/>
      <c r="D58" s="479"/>
      <c r="E58" s="396"/>
      <c r="F58" s="429"/>
      <c r="H58" s="448"/>
      <c r="J58" s="695"/>
      <c r="K58" s="396">
        <v>3</v>
      </c>
      <c r="L58" s="444" t="s">
        <v>630</v>
      </c>
      <c r="M58" s="396">
        <v>3</v>
      </c>
      <c r="N58" s="690"/>
    </row>
    <row r="59" spans="2:14" x14ac:dyDescent="0.3">
      <c r="B59" s="484"/>
      <c r="D59" s="479"/>
      <c r="E59" s="396"/>
      <c r="F59" s="429"/>
      <c r="H59" s="429"/>
      <c r="J59" s="487"/>
      <c r="K59" s="396"/>
      <c r="L59" s="473">
        <v>7</v>
      </c>
      <c r="M59" s="396"/>
    </row>
    <row r="60" spans="2:14" x14ac:dyDescent="0.3">
      <c r="B60" s="484"/>
      <c r="D60" s="479"/>
      <c r="E60" s="396"/>
      <c r="F60" s="429"/>
      <c r="G60" s="396">
        <v>3</v>
      </c>
      <c r="H60" s="507"/>
      <c r="I60" s="396">
        <v>3</v>
      </c>
      <c r="J60" s="446" t="s">
        <v>722</v>
      </c>
      <c r="K60" s="396" t="s">
        <v>637</v>
      </c>
      <c r="L60" s="409" t="s">
        <v>4</v>
      </c>
    </row>
    <row r="61" spans="2:14" x14ac:dyDescent="0.3">
      <c r="B61" s="484"/>
      <c r="D61" s="479"/>
      <c r="E61" s="396"/>
      <c r="F61" s="429"/>
    </row>
    <row r="62" spans="2:14" x14ac:dyDescent="0.3">
      <c r="B62" s="484"/>
      <c r="D62" s="479"/>
      <c r="E62" s="396"/>
      <c r="F62" s="429"/>
      <c r="G62" s="396">
        <v>4</v>
      </c>
      <c r="H62" s="449" t="s">
        <v>31</v>
      </c>
      <c r="I62" s="396">
        <v>4</v>
      </c>
      <c r="J62" s="485" t="s">
        <v>5</v>
      </c>
      <c r="K62" s="397">
        <v>4</v>
      </c>
      <c r="L62" s="402" t="s">
        <v>629</v>
      </c>
      <c r="M62" s="396">
        <v>8</v>
      </c>
      <c r="N62" s="690" t="s">
        <v>628</v>
      </c>
    </row>
    <row r="63" spans="2:14" x14ac:dyDescent="0.3">
      <c r="B63" s="484"/>
      <c r="D63" s="479"/>
      <c r="E63" s="396"/>
      <c r="F63" s="429"/>
      <c r="H63" s="448" t="s">
        <v>723</v>
      </c>
      <c r="I63" s="396">
        <v>3</v>
      </c>
      <c r="J63" s="486"/>
      <c r="K63" s="396">
        <v>3</v>
      </c>
      <c r="L63" s="403" t="s">
        <v>630</v>
      </c>
      <c r="M63" s="396">
        <v>3</v>
      </c>
      <c r="N63" s="690"/>
    </row>
    <row r="64" spans="2:14" ht="20.399999999999999" x14ac:dyDescent="0.3">
      <c r="B64" s="484"/>
      <c r="D64" s="479"/>
      <c r="F64" s="429"/>
      <c r="H64" s="488" t="s">
        <v>671</v>
      </c>
      <c r="I64" s="47"/>
      <c r="J64" s="47"/>
      <c r="K64" s="47"/>
      <c r="L64" s="473">
        <v>7</v>
      </c>
      <c r="M64" s="47"/>
      <c r="N64" s="47"/>
    </row>
    <row r="65" spans="2:12" x14ac:dyDescent="0.3">
      <c r="B65" s="484"/>
      <c r="D65" s="479"/>
      <c r="E65" s="1"/>
      <c r="F65" s="477" t="s">
        <v>726</v>
      </c>
      <c r="G65" s="396">
        <v>3</v>
      </c>
      <c r="H65" s="489" t="s">
        <v>672</v>
      </c>
      <c r="I65" s="396" t="s">
        <v>637</v>
      </c>
      <c r="J65" s="696" t="s">
        <v>690</v>
      </c>
      <c r="K65" s="697"/>
      <c r="L65" s="698"/>
    </row>
    <row r="66" spans="2:12" x14ac:dyDescent="0.3">
      <c r="B66" s="495"/>
      <c r="D66" s="513" t="s">
        <v>733</v>
      </c>
      <c r="E66" s="396">
        <v>3</v>
      </c>
      <c r="F66" s="510" t="s">
        <v>346</v>
      </c>
    </row>
    <row r="67" spans="2:12" x14ac:dyDescent="0.3">
      <c r="B67" s="495"/>
      <c r="D67" s="479"/>
      <c r="E67" s="396"/>
    </row>
    <row r="68" spans="2:12" x14ac:dyDescent="0.3">
      <c r="B68" s="495"/>
      <c r="D68" s="520" t="s">
        <v>738</v>
      </c>
      <c r="E68" s="396"/>
      <c r="F68" s="430" t="s">
        <v>334</v>
      </c>
      <c r="G68" s="396">
        <v>4</v>
      </c>
      <c r="H68" s="692" t="s">
        <v>5</v>
      </c>
      <c r="I68" s="397">
        <v>4</v>
      </c>
      <c r="J68" s="466" t="s">
        <v>629</v>
      </c>
      <c r="K68" s="396">
        <v>8</v>
      </c>
      <c r="L68" s="690" t="s">
        <v>628</v>
      </c>
    </row>
    <row r="69" spans="2:12" x14ac:dyDescent="0.3">
      <c r="B69" s="495"/>
      <c r="D69" s="479"/>
      <c r="E69" s="396"/>
      <c r="F69" s="477" t="s">
        <v>346</v>
      </c>
      <c r="G69" s="396">
        <v>3</v>
      </c>
      <c r="H69" s="693"/>
      <c r="I69" s="396">
        <v>3</v>
      </c>
      <c r="J69" s="403" t="s">
        <v>630</v>
      </c>
      <c r="K69" s="396">
        <v>3</v>
      </c>
      <c r="L69" s="690"/>
    </row>
    <row r="70" spans="2:12" x14ac:dyDescent="0.3">
      <c r="B70" s="495"/>
      <c r="D70" s="513" t="s">
        <v>733</v>
      </c>
      <c r="E70" s="396">
        <v>3</v>
      </c>
      <c r="F70" s="477"/>
      <c r="J70" s="473">
        <v>7</v>
      </c>
    </row>
    <row r="71" spans="2:12" ht="20.399999999999999" x14ac:dyDescent="0.3">
      <c r="B71" s="495"/>
      <c r="D71" s="511" t="s">
        <v>742</v>
      </c>
      <c r="E71" s="396"/>
      <c r="F71" s="493" t="s">
        <v>668</v>
      </c>
      <c r="G71" s="396" t="s">
        <v>637</v>
      </c>
      <c r="H71" s="696" t="s">
        <v>691</v>
      </c>
      <c r="I71" s="697"/>
      <c r="J71" s="698"/>
    </row>
    <row r="72" spans="2:12" x14ac:dyDescent="0.3">
      <c r="B72" s="495"/>
      <c r="D72" s="479"/>
      <c r="E72" s="396"/>
    </row>
    <row r="73" spans="2:12" x14ac:dyDescent="0.3">
      <c r="B73" s="484"/>
      <c r="D73" s="513" t="s">
        <v>733</v>
      </c>
      <c r="E73" s="396">
        <v>4</v>
      </c>
      <c r="F73" s="449" t="s">
        <v>29</v>
      </c>
      <c r="G73" s="396">
        <v>4</v>
      </c>
      <c r="H73" s="694" t="s">
        <v>721</v>
      </c>
      <c r="I73" s="397">
        <v>4</v>
      </c>
      <c r="J73" s="466" t="s">
        <v>629</v>
      </c>
      <c r="K73" s="396">
        <v>8</v>
      </c>
      <c r="L73" s="690" t="s">
        <v>628</v>
      </c>
    </row>
    <row r="74" spans="2:12" x14ac:dyDescent="0.3">
      <c r="B74" s="484"/>
      <c r="D74" s="514" t="s">
        <v>240</v>
      </c>
      <c r="E74" s="1"/>
      <c r="F74" s="448"/>
      <c r="H74" s="695"/>
      <c r="I74" s="396">
        <v>3</v>
      </c>
      <c r="J74" s="444" t="s">
        <v>630</v>
      </c>
      <c r="K74" s="396">
        <v>3</v>
      </c>
      <c r="L74" s="690"/>
    </row>
    <row r="75" spans="2:12" x14ac:dyDescent="0.3">
      <c r="B75" s="484"/>
      <c r="D75" s="479"/>
      <c r="E75" s="1"/>
      <c r="F75" s="494"/>
      <c r="H75" s="494"/>
      <c r="I75" s="396"/>
      <c r="J75" s="473">
        <v>7</v>
      </c>
      <c r="K75" s="396"/>
    </row>
    <row r="76" spans="2:12" x14ac:dyDescent="0.3">
      <c r="B76" s="484"/>
      <c r="D76" s="479"/>
      <c r="E76" s="1"/>
      <c r="F76" s="494"/>
      <c r="G76" s="396">
        <v>3</v>
      </c>
      <c r="H76" s="494"/>
      <c r="I76" s="396" t="s">
        <v>637</v>
      </c>
      <c r="J76" s="409" t="s">
        <v>4</v>
      </c>
    </row>
    <row r="77" spans="2:12" x14ac:dyDescent="0.3">
      <c r="B77" s="495"/>
      <c r="D77" s="479"/>
      <c r="E77" s="1"/>
      <c r="F77" s="429"/>
      <c r="H77" s="513" t="s">
        <v>741</v>
      </c>
      <c r="J77" s="517" t="s">
        <v>733</v>
      </c>
    </row>
    <row r="78" spans="2:12" x14ac:dyDescent="0.3">
      <c r="B78" s="495"/>
      <c r="D78" s="479"/>
      <c r="E78" s="396">
        <v>3</v>
      </c>
      <c r="F78" s="518" t="s">
        <v>242</v>
      </c>
      <c r="H78" s="519" t="s">
        <v>240</v>
      </c>
      <c r="I78" s="396"/>
      <c r="J78" s="516" t="s">
        <v>240</v>
      </c>
    </row>
    <row r="79" spans="2:12" x14ac:dyDescent="0.3">
      <c r="B79" s="484"/>
      <c r="D79" s="479"/>
      <c r="E79" s="396"/>
    </row>
    <row r="80" spans="2:12" x14ac:dyDescent="0.3">
      <c r="B80" s="484"/>
      <c r="D80" s="514" t="s">
        <v>240</v>
      </c>
      <c r="E80" s="396">
        <v>4</v>
      </c>
      <c r="F80" s="449" t="s">
        <v>13</v>
      </c>
      <c r="G80" s="396">
        <v>4</v>
      </c>
      <c r="H80" s="402" t="s">
        <v>704</v>
      </c>
    </row>
    <row r="81" spans="2:10" x14ac:dyDescent="0.3">
      <c r="B81" s="484"/>
      <c r="D81" s="479"/>
      <c r="E81" s="396"/>
      <c r="F81" s="448"/>
      <c r="G81" s="396">
        <v>3</v>
      </c>
      <c r="H81" s="452" t="s">
        <v>3</v>
      </c>
    </row>
    <row r="82" spans="2:10" x14ac:dyDescent="0.3">
      <c r="B82" s="484"/>
      <c r="D82" s="479"/>
      <c r="E82" s="396"/>
      <c r="F82" s="429"/>
    </row>
    <row r="83" spans="2:10" x14ac:dyDescent="0.3">
      <c r="B83" s="484"/>
      <c r="D83" s="479"/>
      <c r="E83" s="396"/>
      <c r="F83" s="448"/>
      <c r="G83" s="397">
        <v>4</v>
      </c>
      <c r="H83" s="402" t="s">
        <v>629</v>
      </c>
      <c r="I83" s="396">
        <v>8</v>
      </c>
      <c r="J83" s="690" t="s">
        <v>628</v>
      </c>
    </row>
    <row r="84" spans="2:10" x14ac:dyDescent="0.3">
      <c r="B84" s="484"/>
      <c r="D84" s="479"/>
      <c r="E84" s="396"/>
      <c r="F84" s="448"/>
      <c r="G84" s="396">
        <v>3</v>
      </c>
      <c r="H84" s="455" t="s">
        <v>630</v>
      </c>
      <c r="I84" s="396">
        <v>3</v>
      </c>
      <c r="J84" s="690"/>
    </row>
    <row r="85" spans="2:10" x14ac:dyDescent="0.3">
      <c r="B85" s="484"/>
      <c r="D85" s="479"/>
      <c r="E85" s="396"/>
      <c r="F85" s="429"/>
      <c r="H85" s="473">
        <v>7</v>
      </c>
    </row>
    <row r="86" spans="2:10" x14ac:dyDescent="0.3">
      <c r="B86" s="484"/>
      <c r="D86" s="479"/>
      <c r="E86" s="396"/>
      <c r="F86" s="448"/>
      <c r="G86" s="396" t="s">
        <v>637</v>
      </c>
      <c r="H86" s="455" t="s">
        <v>13</v>
      </c>
    </row>
    <row r="87" spans="2:10" x14ac:dyDescent="0.3">
      <c r="B87" s="484"/>
      <c r="D87" s="479"/>
      <c r="E87" s="396"/>
      <c r="F87" s="448"/>
      <c r="H87" s="515" t="s">
        <v>200</v>
      </c>
    </row>
    <row r="88" spans="2:10" x14ac:dyDescent="0.3">
      <c r="B88" s="484"/>
      <c r="D88" s="479"/>
      <c r="E88" s="396">
        <v>3</v>
      </c>
      <c r="F88" s="507"/>
      <c r="H88" s="516" t="s">
        <v>240</v>
      </c>
    </row>
    <row r="89" spans="2:10" x14ac:dyDescent="0.3">
      <c r="B89" s="484"/>
      <c r="D89" s="509" t="s">
        <v>726</v>
      </c>
      <c r="E89" s="396"/>
    </row>
    <row r="90" spans="2:10" x14ac:dyDescent="0.3">
      <c r="B90" s="484"/>
      <c r="E90" s="396"/>
    </row>
    <row r="91" spans="2:10" x14ac:dyDescent="0.3">
      <c r="B91" s="484"/>
      <c r="E91" s="396"/>
    </row>
    <row r="92" spans="2:10" x14ac:dyDescent="0.3">
      <c r="B92" s="484"/>
      <c r="E92" s="396"/>
    </row>
    <row r="93" spans="2:10" x14ac:dyDescent="0.3">
      <c r="B93" s="484"/>
      <c r="E93" s="396"/>
    </row>
    <row r="94" spans="2:10" x14ac:dyDescent="0.3">
      <c r="B94" s="484"/>
      <c r="E94" s="396"/>
    </row>
    <row r="95" spans="2:10" x14ac:dyDescent="0.3">
      <c r="B95" s="484"/>
      <c r="E95" s="396"/>
    </row>
    <row r="96" spans="2:10" x14ac:dyDescent="0.3">
      <c r="B96" s="484"/>
      <c r="E96" s="396"/>
    </row>
    <row r="97" spans="2:5" x14ac:dyDescent="0.3">
      <c r="B97" s="484"/>
      <c r="E97" s="396"/>
    </row>
    <row r="98" spans="2:5" x14ac:dyDescent="0.3">
      <c r="B98" s="484"/>
      <c r="E98" s="396"/>
    </row>
    <row r="99" spans="2:5" x14ac:dyDescent="0.3">
      <c r="B99" s="484"/>
      <c r="E99" s="396"/>
    </row>
    <row r="100" spans="2:5" x14ac:dyDescent="0.3">
      <c r="B100" s="484"/>
      <c r="E100" s="396"/>
    </row>
    <row r="101" spans="2:5" x14ac:dyDescent="0.3">
      <c r="B101" s="484"/>
      <c r="E101" s="396"/>
    </row>
    <row r="102" spans="2:5" x14ac:dyDescent="0.3">
      <c r="B102" s="484"/>
      <c r="E102" s="396"/>
    </row>
    <row r="103" spans="2:5" x14ac:dyDescent="0.3">
      <c r="B103" s="484"/>
      <c r="E103" s="396"/>
    </row>
    <row r="104" spans="2:5" x14ac:dyDescent="0.3">
      <c r="B104" s="484"/>
      <c r="E104" s="396"/>
    </row>
    <row r="105" spans="2:5" x14ac:dyDescent="0.3">
      <c r="B105" s="484"/>
      <c r="E105" s="396"/>
    </row>
    <row r="106" spans="2:5" x14ac:dyDescent="0.3">
      <c r="B106" s="484"/>
      <c r="E106" s="396"/>
    </row>
    <row r="107" spans="2:5" x14ac:dyDescent="0.3">
      <c r="B107" s="484"/>
      <c r="E107" s="396"/>
    </row>
    <row r="108" spans="2:5" x14ac:dyDescent="0.3">
      <c r="B108" s="484"/>
      <c r="E108" s="396"/>
    </row>
    <row r="109" spans="2:5" x14ac:dyDescent="0.3">
      <c r="B109" s="484"/>
      <c r="E109" s="396"/>
    </row>
    <row r="110" spans="2:5" x14ac:dyDescent="0.3">
      <c r="B110" s="484"/>
      <c r="E110" s="396"/>
    </row>
    <row r="111" spans="2:5" x14ac:dyDescent="0.3">
      <c r="B111" s="484"/>
      <c r="E111" s="396"/>
    </row>
    <row r="112" spans="2:5" x14ac:dyDescent="0.3">
      <c r="B112" s="484"/>
      <c r="E112" s="396"/>
    </row>
    <row r="113" spans="2:5" x14ac:dyDescent="0.3">
      <c r="B113" s="484"/>
      <c r="E113" s="396"/>
    </row>
    <row r="114" spans="2:5" x14ac:dyDescent="0.3">
      <c r="B114" s="484"/>
      <c r="E114" s="396"/>
    </row>
    <row r="115" spans="2:5" x14ac:dyDescent="0.3">
      <c r="B115" s="484"/>
      <c r="E115" s="396"/>
    </row>
    <row r="116" spans="2:5" x14ac:dyDescent="0.3">
      <c r="B116" s="484"/>
      <c r="E116" s="396"/>
    </row>
    <row r="117" spans="2:5" x14ac:dyDescent="0.3">
      <c r="B117" s="484"/>
      <c r="E117" s="396"/>
    </row>
    <row r="118" spans="2:5" x14ac:dyDescent="0.3">
      <c r="B118" s="484"/>
      <c r="E118" s="396"/>
    </row>
    <row r="119" spans="2:5" x14ac:dyDescent="0.3">
      <c r="B119" s="484"/>
      <c r="E119" s="396"/>
    </row>
    <row r="120" spans="2:5" x14ac:dyDescent="0.3">
      <c r="B120" s="484"/>
      <c r="E120" s="396"/>
    </row>
    <row r="121" spans="2:5" x14ac:dyDescent="0.3">
      <c r="B121" s="484"/>
      <c r="E121" s="396"/>
    </row>
    <row r="122" spans="2:5" x14ac:dyDescent="0.3">
      <c r="B122" s="484"/>
      <c r="E122" s="396"/>
    </row>
    <row r="123" spans="2:5" x14ac:dyDescent="0.3">
      <c r="B123" s="484"/>
      <c r="E123" s="396"/>
    </row>
    <row r="124" spans="2:5" x14ac:dyDescent="0.3">
      <c r="B124" s="484"/>
      <c r="E124" s="396"/>
    </row>
    <row r="125" spans="2:5" x14ac:dyDescent="0.3">
      <c r="B125" s="484"/>
      <c r="E125" s="396"/>
    </row>
    <row r="126" spans="2:5" x14ac:dyDescent="0.3">
      <c r="B126" s="484"/>
      <c r="E126" s="396"/>
    </row>
    <row r="127" spans="2:5" x14ac:dyDescent="0.3">
      <c r="B127" s="484"/>
      <c r="E127" s="396"/>
    </row>
    <row r="128" spans="2:5" x14ac:dyDescent="0.3">
      <c r="B128" s="484"/>
      <c r="E128" s="396"/>
    </row>
    <row r="129" spans="2:5" x14ac:dyDescent="0.3">
      <c r="B129" s="484"/>
      <c r="E129" s="396"/>
    </row>
    <row r="130" spans="2:5" x14ac:dyDescent="0.3">
      <c r="B130" s="484"/>
      <c r="E130" s="396"/>
    </row>
    <row r="131" spans="2:5" x14ac:dyDescent="0.3">
      <c r="B131" s="484"/>
      <c r="E131" s="396"/>
    </row>
    <row r="132" spans="2:5" x14ac:dyDescent="0.3">
      <c r="B132" s="484"/>
      <c r="E132" s="396"/>
    </row>
    <row r="133" spans="2:5" x14ac:dyDescent="0.3">
      <c r="B133" s="484"/>
      <c r="E133" s="396"/>
    </row>
    <row r="134" spans="2:5" x14ac:dyDescent="0.3">
      <c r="B134" s="484"/>
      <c r="E134" s="396"/>
    </row>
    <row r="135" spans="2:5" x14ac:dyDescent="0.3">
      <c r="B135" s="484"/>
      <c r="E135" s="396"/>
    </row>
    <row r="136" spans="2:5" x14ac:dyDescent="0.3">
      <c r="B136" s="484"/>
      <c r="E136" s="396"/>
    </row>
    <row r="137" spans="2:5" x14ac:dyDescent="0.3">
      <c r="B137" s="484"/>
      <c r="E137" s="396"/>
    </row>
    <row r="138" spans="2:5" x14ac:dyDescent="0.3">
      <c r="B138" s="484"/>
      <c r="E138" s="396"/>
    </row>
    <row r="139" spans="2:5" x14ac:dyDescent="0.3">
      <c r="B139" s="484"/>
      <c r="E139" s="396"/>
    </row>
    <row r="140" spans="2:5" x14ac:dyDescent="0.3">
      <c r="B140" s="484"/>
      <c r="E140" s="396"/>
    </row>
    <row r="141" spans="2:5" x14ac:dyDescent="0.3">
      <c r="B141" s="484"/>
      <c r="E141" s="396"/>
    </row>
    <row r="142" spans="2:5" x14ac:dyDescent="0.3">
      <c r="B142" s="484"/>
      <c r="E142" s="396"/>
    </row>
    <row r="143" spans="2:5" x14ac:dyDescent="0.3">
      <c r="B143" s="484"/>
      <c r="E143" s="396"/>
    </row>
    <row r="144" spans="2:5" x14ac:dyDescent="0.3">
      <c r="B144" s="484"/>
      <c r="E144" s="396"/>
    </row>
    <row r="145" spans="2:5" x14ac:dyDescent="0.3">
      <c r="B145" s="484"/>
      <c r="E145" s="396"/>
    </row>
    <row r="146" spans="2:5" x14ac:dyDescent="0.3">
      <c r="B146" s="484"/>
      <c r="E146" s="396"/>
    </row>
    <row r="147" spans="2:5" x14ac:dyDescent="0.3">
      <c r="B147" s="484"/>
      <c r="E147" s="396"/>
    </row>
    <row r="148" spans="2:5" x14ac:dyDescent="0.3">
      <c r="B148" s="484"/>
      <c r="E148" s="396"/>
    </row>
    <row r="149" spans="2:5" x14ac:dyDescent="0.3">
      <c r="B149" s="484"/>
      <c r="E149" s="396"/>
    </row>
    <row r="150" spans="2:5" x14ac:dyDescent="0.3">
      <c r="B150" s="484"/>
      <c r="E150" s="396"/>
    </row>
    <row r="151" spans="2:5" x14ac:dyDescent="0.3">
      <c r="B151" s="484"/>
      <c r="E151" s="396"/>
    </row>
    <row r="152" spans="2:5" x14ac:dyDescent="0.3">
      <c r="B152" s="484"/>
      <c r="E152" s="396"/>
    </row>
    <row r="153" spans="2:5" x14ac:dyDescent="0.3">
      <c r="B153" s="484"/>
      <c r="E153" s="396"/>
    </row>
    <row r="154" spans="2:5" x14ac:dyDescent="0.3">
      <c r="B154" s="484"/>
      <c r="E154" s="396"/>
    </row>
    <row r="155" spans="2:5" x14ac:dyDescent="0.3">
      <c r="B155" s="484"/>
      <c r="E155" s="396"/>
    </row>
    <row r="156" spans="2:5" x14ac:dyDescent="0.3">
      <c r="B156" s="484"/>
      <c r="E156" s="396"/>
    </row>
    <row r="157" spans="2:5" x14ac:dyDescent="0.3">
      <c r="B157" s="484"/>
      <c r="E157" s="396"/>
    </row>
    <row r="158" spans="2:5" x14ac:dyDescent="0.3">
      <c r="B158" s="484"/>
      <c r="E158" s="396"/>
    </row>
    <row r="159" spans="2:5" x14ac:dyDescent="0.3">
      <c r="B159" s="484"/>
      <c r="E159" s="396"/>
    </row>
    <row r="160" spans="2:5" x14ac:dyDescent="0.3">
      <c r="B160" s="484"/>
      <c r="E160" s="396"/>
    </row>
    <row r="161" spans="2:5" x14ac:dyDescent="0.3">
      <c r="B161" s="484"/>
      <c r="E161" s="396"/>
    </row>
    <row r="162" spans="2:5" x14ac:dyDescent="0.3">
      <c r="B162" s="484"/>
      <c r="E162" s="396"/>
    </row>
    <row r="163" spans="2:5" x14ac:dyDescent="0.3">
      <c r="B163" s="484"/>
      <c r="E163" s="396"/>
    </row>
    <row r="164" spans="2:5" x14ac:dyDescent="0.3">
      <c r="B164" s="484"/>
      <c r="E164" s="396"/>
    </row>
    <row r="165" spans="2:5" x14ac:dyDescent="0.3">
      <c r="B165" s="484"/>
      <c r="E165" s="396"/>
    </row>
    <row r="166" spans="2:5" x14ac:dyDescent="0.3">
      <c r="B166" s="484"/>
      <c r="E166" s="396"/>
    </row>
    <row r="167" spans="2:5" x14ac:dyDescent="0.3">
      <c r="B167" s="484"/>
      <c r="E167" s="396"/>
    </row>
    <row r="168" spans="2:5" x14ac:dyDescent="0.3">
      <c r="B168" s="484"/>
      <c r="E168" s="396"/>
    </row>
    <row r="169" spans="2:5" x14ac:dyDescent="0.3">
      <c r="B169" s="484"/>
      <c r="E169" s="396"/>
    </row>
    <row r="170" spans="2:5" x14ac:dyDescent="0.3">
      <c r="B170" s="484"/>
      <c r="E170" s="396"/>
    </row>
    <row r="171" spans="2:5" x14ac:dyDescent="0.3">
      <c r="B171" s="484"/>
      <c r="E171" s="396"/>
    </row>
    <row r="172" spans="2:5" x14ac:dyDescent="0.3">
      <c r="B172" s="484"/>
      <c r="E172" s="396"/>
    </row>
    <row r="173" spans="2:5" x14ac:dyDescent="0.3">
      <c r="B173" s="484"/>
      <c r="E173" s="396"/>
    </row>
    <row r="174" spans="2:5" x14ac:dyDescent="0.3">
      <c r="B174" s="484"/>
      <c r="E174" s="396"/>
    </row>
    <row r="175" spans="2:5" x14ac:dyDescent="0.3">
      <c r="B175" s="484"/>
      <c r="E175" s="396"/>
    </row>
    <row r="176" spans="2:5" x14ac:dyDescent="0.3">
      <c r="B176" s="484"/>
      <c r="E176" s="396"/>
    </row>
    <row r="177" spans="2:5" x14ac:dyDescent="0.3">
      <c r="B177" s="484"/>
      <c r="E177" s="396"/>
    </row>
    <row r="178" spans="2:5" x14ac:dyDescent="0.3">
      <c r="B178" s="484"/>
      <c r="E178" s="396"/>
    </row>
    <row r="179" spans="2:5" x14ac:dyDescent="0.3">
      <c r="B179" s="484"/>
      <c r="E179" s="396"/>
    </row>
    <row r="180" spans="2:5" x14ac:dyDescent="0.3">
      <c r="B180" s="484"/>
      <c r="E180" s="396"/>
    </row>
    <row r="181" spans="2:5" x14ac:dyDescent="0.3">
      <c r="B181" s="484"/>
      <c r="E181" s="396"/>
    </row>
    <row r="182" spans="2:5" x14ac:dyDescent="0.3">
      <c r="B182" s="484"/>
      <c r="E182" s="396"/>
    </row>
    <row r="183" spans="2:5" x14ac:dyDescent="0.3">
      <c r="B183" s="484"/>
      <c r="E183" s="396"/>
    </row>
    <row r="184" spans="2:5" x14ac:dyDescent="0.3">
      <c r="B184" s="484"/>
      <c r="E184" s="396"/>
    </row>
    <row r="185" spans="2:5" x14ac:dyDescent="0.3">
      <c r="B185" s="484"/>
      <c r="E185" s="396"/>
    </row>
    <row r="186" spans="2:5" x14ac:dyDescent="0.3">
      <c r="B186" s="484"/>
      <c r="E186" s="396"/>
    </row>
    <row r="187" spans="2:5" x14ac:dyDescent="0.3">
      <c r="B187" s="484"/>
      <c r="E187" s="396"/>
    </row>
    <row r="188" spans="2:5" x14ac:dyDescent="0.3">
      <c r="B188" s="484"/>
      <c r="E188" s="396"/>
    </row>
    <row r="189" spans="2:5" x14ac:dyDescent="0.3">
      <c r="B189" s="484"/>
      <c r="E189" s="396"/>
    </row>
    <row r="190" spans="2:5" x14ac:dyDescent="0.3">
      <c r="B190" s="484"/>
      <c r="E190" s="396"/>
    </row>
    <row r="191" spans="2:5" x14ac:dyDescent="0.3">
      <c r="B191" s="484"/>
      <c r="E191" s="396"/>
    </row>
    <row r="192" spans="2:5" x14ac:dyDescent="0.3">
      <c r="B192" s="484"/>
      <c r="E192" s="396"/>
    </row>
    <row r="193" spans="2:5" x14ac:dyDescent="0.3">
      <c r="B193" s="484"/>
      <c r="E193" s="396"/>
    </row>
    <row r="194" spans="2:5" x14ac:dyDescent="0.3">
      <c r="B194" s="484"/>
      <c r="E194" s="396"/>
    </row>
    <row r="195" spans="2:5" x14ac:dyDescent="0.3">
      <c r="B195" s="484"/>
      <c r="E195" s="396"/>
    </row>
    <row r="196" spans="2:5" x14ac:dyDescent="0.3">
      <c r="B196" s="484"/>
      <c r="E196" s="396"/>
    </row>
    <row r="197" spans="2:5" x14ac:dyDescent="0.3">
      <c r="B197" s="484"/>
      <c r="E197" s="396"/>
    </row>
    <row r="198" spans="2:5" x14ac:dyDescent="0.3">
      <c r="B198" s="484"/>
      <c r="E198" s="396"/>
    </row>
    <row r="199" spans="2:5" x14ac:dyDescent="0.3">
      <c r="B199" s="484"/>
      <c r="E199" s="396"/>
    </row>
    <row r="200" spans="2:5" x14ac:dyDescent="0.3">
      <c r="B200" s="484"/>
      <c r="E200" s="396"/>
    </row>
    <row r="201" spans="2:5" x14ac:dyDescent="0.3">
      <c r="B201" s="484"/>
      <c r="E201" s="396"/>
    </row>
    <row r="202" spans="2:5" x14ac:dyDescent="0.3">
      <c r="B202" s="484"/>
      <c r="E202" s="396"/>
    </row>
    <row r="203" spans="2:5" x14ac:dyDescent="0.3">
      <c r="B203" s="484"/>
      <c r="E203" s="396"/>
    </row>
    <row r="204" spans="2:5" x14ac:dyDescent="0.3">
      <c r="B204" s="484"/>
      <c r="E204" s="396"/>
    </row>
    <row r="205" spans="2:5" x14ac:dyDescent="0.3">
      <c r="B205" s="484"/>
      <c r="E205" s="396"/>
    </row>
    <row r="206" spans="2:5" x14ac:dyDescent="0.3">
      <c r="B206" s="484"/>
      <c r="E206" s="396"/>
    </row>
    <row r="207" spans="2:5" x14ac:dyDescent="0.3">
      <c r="B207" s="484"/>
      <c r="E207" s="396"/>
    </row>
    <row r="208" spans="2:5" x14ac:dyDescent="0.3">
      <c r="B208" s="484"/>
      <c r="E208" s="396"/>
    </row>
    <row r="209" spans="2:5" x14ac:dyDescent="0.3">
      <c r="B209" s="484"/>
      <c r="E209" s="396"/>
    </row>
    <row r="210" spans="2:5" x14ac:dyDescent="0.3">
      <c r="B210" s="484"/>
      <c r="E210" s="396"/>
    </row>
    <row r="211" spans="2:5" x14ac:dyDescent="0.3">
      <c r="B211" s="484"/>
      <c r="E211" s="396"/>
    </row>
    <row r="212" spans="2:5" x14ac:dyDescent="0.3">
      <c r="B212" s="484"/>
      <c r="E212" s="396"/>
    </row>
    <row r="213" spans="2:5" x14ac:dyDescent="0.3">
      <c r="B213" s="484"/>
      <c r="E213" s="396"/>
    </row>
    <row r="214" spans="2:5" x14ac:dyDescent="0.3">
      <c r="B214" s="484"/>
      <c r="E214" s="396"/>
    </row>
    <row r="215" spans="2:5" x14ac:dyDescent="0.3">
      <c r="B215" s="484"/>
      <c r="E215" s="396"/>
    </row>
    <row r="216" spans="2:5" x14ac:dyDescent="0.3">
      <c r="B216" s="484"/>
      <c r="E216" s="396"/>
    </row>
    <row r="217" spans="2:5" x14ac:dyDescent="0.3">
      <c r="B217" s="484"/>
      <c r="E217" s="396"/>
    </row>
    <row r="218" spans="2:5" x14ac:dyDescent="0.3">
      <c r="B218" s="484"/>
      <c r="E218" s="396"/>
    </row>
    <row r="219" spans="2:5" x14ac:dyDescent="0.3">
      <c r="B219" s="484"/>
      <c r="E219" s="396"/>
    </row>
    <row r="220" spans="2:5" x14ac:dyDescent="0.3">
      <c r="B220" s="484"/>
      <c r="E220" s="396"/>
    </row>
    <row r="221" spans="2:5" x14ac:dyDescent="0.3">
      <c r="B221" s="484"/>
      <c r="E221" s="396"/>
    </row>
    <row r="222" spans="2:5" x14ac:dyDescent="0.3">
      <c r="B222" s="484"/>
      <c r="E222" s="396"/>
    </row>
    <row r="223" spans="2:5" x14ac:dyDescent="0.3">
      <c r="B223" s="484"/>
      <c r="E223" s="396"/>
    </row>
    <row r="224" spans="2:5" x14ac:dyDescent="0.3">
      <c r="B224" s="484"/>
      <c r="E224" s="396"/>
    </row>
    <row r="225" spans="2:5" x14ac:dyDescent="0.3">
      <c r="B225" s="484"/>
      <c r="E225" s="396"/>
    </row>
    <row r="226" spans="2:5" x14ac:dyDescent="0.3">
      <c r="B226" s="484"/>
      <c r="E226" s="396"/>
    </row>
    <row r="227" spans="2:5" x14ac:dyDescent="0.3">
      <c r="B227" s="484"/>
      <c r="E227" s="396"/>
    </row>
    <row r="228" spans="2:5" x14ac:dyDescent="0.3">
      <c r="B228" s="484"/>
      <c r="E228" s="396"/>
    </row>
    <row r="229" spans="2:5" x14ac:dyDescent="0.3">
      <c r="B229" s="484"/>
      <c r="E229" s="396"/>
    </row>
    <row r="230" spans="2:5" x14ac:dyDescent="0.3">
      <c r="B230" s="484"/>
      <c r="E230" s="396"/>
    </row>
    <row r="231" spans="2:5" x14ac:dyDescent="0.3">
      <c r="B231" s="484"/>
      <c r="E231" s="396"/>
    </row>
    <row r="232" spans="2:5" x14ac:dyDescent="0.3">
      <c r="B232" s="484"/>
      <c r="E232" s="396"/>
    </row>
    <row r="233" spans="2:5" x14ac:dyDescent="0.3">
      <c r="B233" s="484"/>
      <c r="E233" s="396"/>
    </row>
    <row r="234" spans="2:5" x14ac:dyDescent="0.3">
      <c r="B234" s="484"/>
      <c r="E234" s="396"/>
    </row>
    <row r="235" spans="2:5" x14ac:dyDescent="0.3">
      <c r="B235" s="484"/>
      <c r="E235" s="396"/>
    </row>
    <row r="236" spans="2:5" x14ac:dyDescent="0.3">
      <c r="B236" s="484"/>
      <c r="E236" s="396"/>
    </row>
    <row r="237" spans="2:5" x14ac:dyDescent="0.3">
      <c r="B237" s="484"/>
      <c r="E237" s="396"/>
    </row>
    <row r="238" spans="2:5" x14ac:dyDescent="0.3">
      <c r="B238" s="484"/>
      <c r="E238" s="396"/>
    </row>
    <row r="239" spans="2:5" x14ac:dyDescent="0.3">
      <c r="B239" s="484"/>
      <c r="E239" s="396"/>
    </row>
    <row r="240" spans="2:5" x14ac:dyDescent="0.3">
      <c r="B240" s="484"/>
      <c r="E240" s="396"/>
    </row>
    <row r="241" spans="2:5" x14ac:dyDescent="0.3">
      <c r="B241" s="484"/>
      <c r="E241" s="396"/>
    </row>
    <row r="242" spans="2:5" x14ac:dyDescent="0.3">
      <c r="B242" s="484"/>
      <c r="E242" s="396"/>
    </row>
    <row r="243" spans="2:5" x14ac:dyDescent="0.3">
      <c r="B243" s="484"/>
      <c r="E243" s="396"/>
    </row>
    <row r="244" spans="2:5" x14ac:dyDescent="0.3">
      <c r="B244" s="484"/>
      <c r="E244" s="396"/>
    </row>
    <row r="245" spans="2:5" x14ac:dyDescent="0.3">
      <c r="B245" s="484"/>
      <c r="E245" s="396"/>
    </row>
    <row r="246" spans="2:5" x14ac:dyDescent="0.3">
      <c r="B246" s="484"/>
      <c r="E246" s="396"/>
    </row>
    <row r="247" spans="2:5" x14ac:dyDescent="0.3">
      <c r="B247" s="484"/>
      <c r="E247" s="396"/>
    </row>
    <row r="248" spans="2:5" x14ac:dyDescent="0.3">
      <c r="B248" s="484"/>
      <c r="E248" s="396"/>
    </row>
    <row r="249" spans="2:5" x14ac:dyDescent="0.3">
      <c r="B249" s="484"/>
      <c r="E249" s="396"/>
    </row>
    <row r="250" spans="2:5" x14ac:dyDescent="0.3">
      <c r="B250" s="484"/>
      <c r="E250" s="396"/>
    </row>
    <row r="251" spans="2:5" x14ac:dyDescent="0.3">
      <c r="B251" s="484"/>
      <c r="E251" s="396"/>
    </row>
    <row r="252" spans="2:5" x14ac:dyDescent="0.3">
      <c r="B252" s="484"/>
      <c r="E252" s="396"/>
    </row>
    <row r="253" spans="2:5" x14ac:dyDescent="0.3">
      <c r="B253" s="484"/>
      <c r="E253" s="396"/>
    </row>
    <row r="254" spans="2:5" x14ac:dyDescent="0.3">
      <c r="B254" s="484"/>
      <c r="E254" s="396"/>
    </row>
    <row r="255" spans="2:5" x14ac:dyDescent="0.3">
      <c r="B255" s="484"/>
      <c r="E255" s="396"/>
    </row>
    <row r="256" spans="2:5" x14ac:dyDescent="0.3">
      <c r="B256" s="484"/>
      <c r="E256" s="396"/>
    </row>
    <row r="257" spans="2:5" x14ac:dyDescent="0.3">
      <c r="B257" s="484"/>
      <c r="E257" s="396"/>
    </row>
    <row r="258" spans="2:5" x14ac:dyDescent="0.3">
      <c r="B258" s="484"/>
      <c r="E258" s="396"/>
    </row>
    <row r="259" spans="2:5" x14ac:dyDescent="0.3">
      <c r="B259" s="484"/>
      <c r="E259" s="396"/>
    </row>
    <row r="260" spans="2:5" x14ac:dyDescent="0.3">
      <c r="B260" s="484"/>
      <c r="E260" s="396"/>
    </row>
    <row r="261" spans="2:5" x14ac:dyDescent="0.3">
      <c r="B261" s="484"/>
      <c r="E261" s="396"/>
    </row>
    <row r="262" spans="2:5" x14ac:dyDescent="0.3">
      <c r="B262" s="484"/>
      <c r="E262" s="396"/>
    </row>
    <row r="263" spans="2:5" x14ac:dyDescent="0.3">
      <c r="B263" s="484"/>
      <c r="E263" s="396"/>
    </row>
    <row r="264" spans="2:5" x14ac:dyDescent="0.3">
      <c r="B264" s="484"/>
      <c r="E264" s="396"/>
    </row>
    <row r="265" spans="2:5" x14ac:dyDescent="0.3">
      <c r="B265" s="484"/>
      <c r="E265" s="396"/>
    </row>
    <row r="266" spans="2:5" x14ac:dyDescent="0.3">
      <c r="B266" s="484"/>
      <c r="E266" s="396"/>
    </row>
    <row r="267" spans="2:5" x14ac:dyDescent="0.3">
      <c r="B267" s="484"/>
      <c r="E267" s="396"/>
    </row>
    <row r="268" spans="2:5" x14ac:dyDescent="0.3">
      <c r="B268" s="484"/>
      <c r="E268" s="396"/>
    </row>
    <row r="269" spans="2:5" x14ac:dyDescent="0.3">
      <c r="B269" s="484"/>
      <c r="E269" s="396"/>
    </row>
    <row r="270" spans="2:5" x14ac:dyDescent="0.3">
      <c r="B270" s="484"/>
      <c r="E270" s="396"/>
    </row>
    <row r="271" spans="2:5" x14ac:dyDescent="0.3">
      <c r="B271" s="484"/>
      <c r="E271" s="396"/>
    </row>
    <row r="272" spans="2:5" x14ac:dyDescent="0.3">
      <c r="B272" s="484"/>
      <c r="E272" s="396"/>
    </row>
    <row r="273" spans="2:5" x14ac:dyDescent="0.3">
      <c r="B273" s="484"/>
      <c r="E273" s="396"/>
    </row>
    <row r="274" spans="2:5" x14ac:dyDescent="0.3">
      <c r="B274" s="484"/>
      <c r="E274" s="396"/>
    </row>
    <row r="275" spans="2:5" x14ac:dyDescent="0.3">
      <c r="B275" s="484"/>
      <c r="E275" s="396"/>
    </row>
    <row r="276" spans="2:5" x14ac:dyDescent="0.3">
      <c r="B276" s="484"/>
      <c r="E276" s="396"/>
    </row>
    <row r="277" spans="2:5" x14ac:dyDescent="0.3">
      <c r="B277" s="484"/>
      <c r="E277" s="396"/>
    </row>
    <row r="278" spans="2:5" x14ac:dyDescent="0.3">
      <c r="B278" s="484"/>
      <c r="E278" s="396"/>
    </row>
    <row r="279" spans="2:5" x14ac:dyDescent="0.3">
      <c r="B279" s="484"/>
      <c r="E279" s="396"/>
    </row>
    <row r="280" spans="2:5" x14ac:dyDescent="0.3">
      <c r="B280" s="484"/>
      <c r="E280" s="396"/>
    </row>
    <row r="281" spans="2:5" x14ac:dyDescent="0.3">
      <c r="B281" s="484"/>
      <c r="E281" s="396"/>
    </row>
    <row r="282" spans="2:5" x14ac:dyDescent="0.3">
      <c r="B282" s="484"/>
      <c r="E282" s="396"/>
    </row>
    <row r="283" spans="2:5" x14ac:dyDescent="0.3">
      <c r="B283" s="484"/>
      <c r="E283" s="396"/>
    </row>
    <row r="284" spans="2:5" x14ac:dyDescent="0.3">
      <c r="B284" s="484"/>
      <c r="E284" s="396"/>
    </row>
    <row r="285" spans="2:5" x14ac:dyDescent="0.3">
      <c r="B285" s="484"/>
      <c r="E285" s="396"/>
    </row>
    <row r="286" spans="2:5" x14ac:dyDescent="0.3">
      <c r="B286" s="484"/>
      <c r="E286" s="396"/>
    </row>
    <row r="287" spans="2:5" x14ac:dyDescent="0.3">
      <c r="B287" s="484"/>
      <c r="E287" s="396"/>
    </row>
    <row r="288" spans="2:5" x14ac:dyDescent="0.3">
      <c r="B288" s="484"/>
      <c r="E288" s="396"/>
    </row>
    <row r="289" spans="2:5" x14ac:dyDescent="0.3">
      <c r="B289" s="484"/>
      <c r="E289" s="396"/>
    </row>
    <row r="290" spans="2:5" x14ac:dyDescent="0.3">
      <c r="B290" s="484"/>
      <c r="E290" s="396"/>
    </row>
    <row r="291" spans="2:5" x14ac:dyDescent="0.3">
      <c r="B291" s="484"/>
      <c r="E291" s="396"/>
    </row>
    <row r="292" spans="2:5" x14ac:dyDescent="0.3">
      <c r="B292" s="484"/>
      <c r="E292" s="396"/>
    </row>
    <row r="293" spans="2:5" x14ac:dyDescent="0.3">
      <c r="B293" s="484"/>
      <c r="E293" s="396"/>
    </row>
    <row r="294" spans="2:5" x14ac:dyDescent="0.3">
      <c r="B294" s="484"/>
      <c r="E294" s="396"/>
    </row>
    <row r="295" spans="2:5" x14ac:dyDescent="0.3">
      <c r="B295" s="484"/>
      <c r="E295" s="396"/>
    </row>
    <row r="296" spans="2:5" x14ac:dyDescent="0.3">
      <c r="B296" s="484"/>
      <c r="E296" s="396"/>
    </row>
    <row r="297" spans="2:5" x14ac:dyDescent="0.3">
      <c r="B297" s="484"/>
      <c r="E297" s="396"/>
    </row>
    <row r="298" spans="2:5" x14ac:dyDescent="0.3">
      <c r="B298" s="484"/>
      <c r="E298" s="396"/>
    </row>
    <row r="299" spans="2:5" x14ac:dyDescent="0.3">
      <c r="B299" s="484"/>
      <c r="E299" s="396"/>
    </row>
    <row r="300" spans="2:5" x14ac:dyDescent="0.3">
      <c r="B300" s="484"/>
      <c r="E300" s="396"/>
    </row>
    <row r="301" spans="2:5" x14ac:dyDescent="0.3">
      <c r="B301" s="484"/>
      <c r="E301" s="396"/>
    </row>
    <row r="302" spans="2:5" x14ac:dyDescent="0.3">
      <c r="B302" s="484"/>
      <c r="E302" s="396"/>
    </row>
    <row r="303" spans="2:5" x14ac:dyDescent="0.3">
      <c r="B303" s="484"/>
      <c r="E303" s="396"/>
    </row>
    <row r="304" spans="2:5" x14ac:dyDescent="0.3">
      <c r="B304" s="484"/>
      <c r="E304" s="396"/>
    </row>
    <row r="305" spans="2:5" x14ac:dyDescent="0.3">
      <c r="B305" s="484"/>
      <c r="E305" s="396"/>
    </row>
    <row r="306" spans="2:5" x14ac:dyDescent="0.3">
      <c r="B306" s="484"/>
      <c r="E306" s="396"/>
    </row>
    <row r="307" spans="2:5" x14ac:dyDescent="0.3">
      <c r="B307" s="484"/>
      <c r="E307" s="396"/>
    </row>
    <row r="308" spans="2:5" x14ac:dyDescent="0.3">
      <c r="B308" s="484"/>
      <c r="E308" s="396"/>
    </row>
    <row r="309" spans="2:5" x14ac:dyDescent="0.3">
      <c r="B309" s="484"/>
      <c r="E309" s="396"/>
    </row>
    <row r="310" spans="2:5" x14ac:dyDescent="0.3">
      <c r="B310" s="484"/>
      <c r="E310" s="396"/>
    </row>
    <row r="311" spans="2:5" x14ac:dyDescent="0.3">
      <c r="B311" s="484"/>
      <c r="E311" s="396"/>
    </row>
    <row r="312" spans="2:5" x14ac:dyDescent="0.3">
      <c r="B312" s="484"/>
      <c r="E312" s="396"/>
    </row>
    <row r="313" spans="2:5" x14ac:dyDescent="0.3">
      <c r="B313" s="484"/>
      <c r="E313" s="396"/>
    </row>
    <row r="314" spans="2:5" x14ac:dyDescent="0.3">
      <c r="B314" s="484"/>
      <c r="E314" s="396"/>
    </row>
    <row r="315" spans="2:5" x14ac:dyDescent="0.3">
      <c r="B315" s="484"/>
      <c r="E315" s="396"/>
    </row>
    <row r="316" spans="2:5" x14ac:dyDescent="0.3">
      <c r="B316" s="484"/>
      <c r="E316" s="396"/>
    </row>
    <row r="317" spans="2:5" x14ac:dyDescent="0.3">
      <c r="B317" s="484"/>
      <c r="E317" s="396"/>
    </row>
    <row r="318" spans="2:5" x14ac:dyDescent="0.3">
      <c r="B318" s="484"/>
      <c r="E318" s="396"/>
    </row>
    <row r="319" spans="2:5" x14ac:dyDescent="0.3">
      <c r="B319" s="484"/>
      <c r="E319" s="396"/>
    </row>
    <row r="320" spans="2:5" x14ac:dyDescent="0.3">
      <c r="B320" s="484"/>
      <c r="E320" s="396"/>
    </row>
    <row r="321" spans="2:5" x14ac:dyDescent="0.3">
      <c r="B321" s="484"/>
      <c r="E321" s="396"/>
    </row>
    <row r="322" spans="2:5" x14ac:dyDescent="0.3">
      <c r="B322" s="484"/>
      <c r="E322" s="396"/>
    </row>
    <row r="323" spans="2:5" x14ac:dyDescent="0.3">
      <c r="B323" s="484"/>
      <c r="E323" s="396"/>
    </row>
    <row r="324" spans="2:5" x14ac:dyDescent="0.3">
      <c r="B324" s="484"/>
      <c r="E324" s="396"/>
    </row>
    <row r="325" spans="2:5" x14ac:dyDescent="0.3">
      <c r="B325" s="484"/>
      <c r="E325" s="396"/>
    </row>
    <row r="326" spans="2:5" x14ac:dyDescent="0.3">
      <c r="B326" s="484"/>
      <c r="E326" s="396"/>
    </row>
    <row r="327" spans="2:5" x14ac:dyDescent="0.3">
      <c r="B327" s="484"/>
      <c r="E327" s="396"/>
    </row>
    <row r="328" spans="2:5" x14ac:dyDescent="0.3">
      <c r="B328" s="484"/>
      <c r="E328" s="396"/>
    </row>
    <row r="329" spans="2:5" x14ac:dyDescent="0.3">
      <c r="B329" s="484"/>
      <c r="E329" s="396"/>
    </row>
    <row r="330" spans="2:5" x14ac:dyDescent="0.3">
      <c r="B330" s="484"/>
      <c r="E330" s="396"/>
    </row>
    <row r="331" spans="2:5" x14ac:dyDescent="0.3">
      <c r="B331" s="484"/>
      <c r="E331" s="396"/>
    </row>
    <row r="332" spans="2:5" x14ac:dyDescent="0.3">
      <c r="B332" s="484"/>
      <c r="E332" s="396"/>
    </row>
    <row r="333" spans="2:5" x14ac:dyDescent="0.3">
      <c r="B333" s="484"/>
      <c r="E333" s="396"/>
    </row>
    <row r="334" spans="2:5" x14ac:dyDescent="0.3">
      <c r="B334" s="484"/>
      <c r="E334" s="396"/>
    </row>
    <row r="335" spans="2:5" x14ac:dyDescent="0.3">
      <c r="B335" s="484"/>
      <c r="E335" s="396"/>
    </row>
    <row r="336" spans="2:5" x14ac:dyDescent="0.3">
      <c r="B336" s="484"/>
      <c r="E336" s="396"/>
    </row>
    <row r="337" spans="2:5" x14ac:dyDescent="0.3">
      <c r="B337" s="484"/>
      <c r="E337" s="396"/>
    </row>
    <row r="338" spans="2:5" x14ac:dyDescent="0.3">
      <c r="B338" s="484"/>
      <c r="E338" s="396"/>
    </row>
    <row r="339" spans="2:5" x14ac:dyDescent="0.3">
      <c r="B339" s="484"/>
      <c r="E339" s="396"/>
    </row>
    <row r="340" spans="2:5" x14ac:dyDescent="0.3">
      <c r="B340" s="484"/>
      <c r="E340" s="396"/>
    </row>
    <row r="341" spans="2:5" x14ac:dyDescent="0.3">
      <c r="B341" s="484"/>
      <c r="E341" s="396"/>
    </row>
    <row r="342" spans="2:5" x14ac:dyDescent="0.3">
      <c r="B342" s="484"/>
      <c r="E342" s="396"/>
    </row>
    <row r="343" spans="2:5" x14ac:dyDescent="0.3">
      <c r="B343" s="484"/>
      <c r="E343" s="396"/>
    </row>
    <row r="344" spans="2:5" x14ac:dyDescent="0.3">
      <c r="B344" s="484"/>
      <c r="E344" s="396"/>
    </row>
    <row r="345" spans="2:5" x14ac:dyDescent="0.3">
      <c r="B345" s="484"/>
      <c r="E345" s="396"/>
    </row>
    <row r="346" spans="2:5" x14ac:dyDescent="0.3">
      <c r="B346" s="484"/>
      <c r="E346" s="396"/>
    </row>
    <row r="347" spans="2:5" x14ac:dyDescent="0.3">
      <c r="B347" s="484"/>
      <c r="E347" s="396"/>
    </row>
    <row r="348" spans="2:5" x14ac:dyDescent="0.3">
      <c r="B348" s="484"/>
      <c r="E348" s="396"/>
    </row>
    <row r="349" spans="2:5" x14ac:dyDescent="0.3">
      <c r="B349" s="484"/>
      <c r="E349" s="396"/>
    </row>
    <row r="350" spans="2:5" x14ac:dyDescent="0.3">
      <c r="B350" s="484"/>
      <c r="E350" s="396"/>
    </row>
    <row r="351" spans="2:5" x14ac:dyDescent="0.3">
      <c r="B351" s="484"/>
      <c r="E351" s="396"/>
    </row>
    <row r="352" spans="2:5" x14ac:dyDescent="0.3">
      <c r="B352" s="484"/>
      <c r="E352" s="396"/>
    </row>
    <row r="353" spans="2:5" x14ac:dyDescent="0.3">
      <c r="B353" s="484"/>
      <c r="E353" s="396"/>
    </row>
    <row r="354" spans="2:5" x14ac:dyDescent="0.3">
      <c r="B354" s="484"/>
      <c r="E354" s="396"/>
    </row>
    <row r="355" spans="2:5" x14ac:dyDescent="0.3">
      <c r="B355" s="484"/>
      <c r="E355" s="396"/>
    </row>
    <row r="356" spans="2:5" x14ac:dyDescent="0.3">
      <c r="B356" s="484"/>
      <c r="E356" s="396"/>
    </row>
    <row r="357" spans="2:5" x14ac:dyDescent="0.3">
      <c r="B357" s="484"/>
      <c r="E357" s="396"/>
    </row>
    <row r="358" spans="2:5" x14ac:dyDescent="0.3">
      <c r="B358" s="484"/>
      <c r="E358" s="396"/>
    </row>
    <row r="359" spans="2:5" x14ac:dyDescent="0.3">
      <c r="B359" s="484"/>
      <c r="E359" s="396"/>
    </row>
    <row r="360" spans="2:5" x14ac:dyDescent="0.3">
      <c r="B360" s="484"/>
      <c r="E360" s="396"/>
    </row>
    <row r="361" spans="2:5" x14ac:dyDescent="0.3">
      <c r="B361" s="484"/>
      <c r="E361" s="396"/>
    </row>
    <row r="362" spans="2:5" x14ac:dyDescent="0.3">
      <c r="B362" s="484"/>
      <c r="E362" s="396"/>
    </row>
    <row r="363" spans="2:5" x14ac:dyDescent="0.3">
      <c r="B363" s="484"/>
      <c r="E363" s="396"/>
    </row>
    <row r="364" spans="2:5" x14ac:dyDescent="0.3">
      <c r="B364" s="484"/>
      <c r="E364" s="396"/>
    </row>
    <row r="365" spans="2:5" x14ac:dyDescent="0.3">
      <c r="B365" s="484"/>
      <c r="E365" s="396"/>
    </row>
    <row r="366" spans="2:5" x14ac:dyDescent="0.3">
      <c r="B366" s="484"/>
      <c r="E366" s="396"/>
    </row>
    <row r="367" spans="2:5" x14ac:dyDescent="0.3">
      <c r="B367" s="484"/>
      <c r="E367" s="396"/>
    </row>
    <row r="368" spans="2:5" x14ac:dyDescent="0.3">
      <c r="B368" s="484"/>
      <c r="E368" s="396"/>
    </row>
    <row r="369" spans="2:5" x14ac:dyDescent="0.3">
      <c r="B369" s="484"/>
      <c r="E369" s="396"/>
    </row>
    <row r="370" spans="2:5" x14ac:dyDescent="0.3">
      <c r="B370" s="484"/>
      <c r="E370" s="396"/>
    </row>
    <row r="371" spans="2:5" x14ac:dyDescent="0.3">
      <c r="B371" s="484"/>
      <c r="E371" s="396"/>
    </row>
  </sheetData>
  <mergeCells count="32">
    <mergeCell ref="J83:J84"/>
    <mergeCell ref="H9:H10"/>
    <mergeCell ref="H73:H74"/>
    <mergeCell ref="L73:L74"/>
    <mergeCell ref="H68:H69"/>
    <mergeCell ref="L68:L69"/>
    <mergeCell ref="H71:J71"/>
    <mergeCell ref="L27:L28"/>
    <mergeCell ref="L22:L23"/>
    <mergeCell ref="J38:J39"/>
    <mergeCell ref="B6:B30"/>
    <mergeCell ref="F29:F30"/>
    <mergeCell ref="J32:J33"/>
    <mergeCell ref="H42:H43"/>
    <mergeCell ref="H19:J19"/>
    <mergeCell ref="H25:J25"/>
    <mergeCell ref="H30:J30"/>
    <mergeCell ref="N57:N58"/>
    <mergeCell ref="N62:N63"/>
    <mergeCell ref="J65:L65"/>
    <mergeCell ref="L52:L53"/>
    <mergeCell ref="H16:H17"/>
    <mergeCell ref="H27:H28"/>
    <mergeCell ref="J57:J58"/>
    <mergeCell ref="H52:H53"/>
    <mergeCell ref="H55:J55"/>
    <mergeCell ref="L42:L43"/>
    <mergeCell ref="H45:J45"/>
    <mergeCell ref="H47:H48"/>
    <mergeCell ref="L47:L48"/>
    <mergeCell ref="H50:J50"/>
    <mergeCell ref="L16:L17"/>
  </mergeCells>
  <pageMargins left="0.43307086614173229" right="0.39370078740157483" top="0.35433070866141736" bottom="0.35433070866141736" header="0" footer="0"/>
  <pageSetup paperSize="9" scale="55" orientation="portrait" r:id="rId1"/>
  <rowBreaks count="1" manualBreakCount="1">
    <brk id="173" max="16383" man="1"/>
  </rowBreak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4">
    <tabColor rgb="FFFF57FF"/>
  </sheetPr>
  <dimension ref="A1:AR20"/>
  <sheetViews>
    <sheetView topLeftCell="O1" workbookViewId="0">
      <selection activeCell="S26" sqref="S26"/>
    </sheetView>
  </sheetViews>
  <sheetFormatPr baseColWidth="10" defaultColWidth="8.88671875" defaultRowHeight="14.4" x14ac:dyDescent="0.3"/>
  <cols>
    <col min="1" max="1" width="17" style="560" bestFit="1" customWidth="1"/>
    <col min="2" max="2" width="15.21875" style="560" bestFit="1" customWidth="1"/>
    <col min="3" max="3" width="12" style="560" bestFit="1" customWidth="1"/>
    <col min="4" max="4" width="11.33203125" style="560" bestFit="1" customWidth="1"/>
    <col min="5" max="6" width="23.44140625" style="560" bestFit="1" customWidth="1"/>
    <col min="7" max="7" width="15" style="560" bestFit="1" customWidth="1"/>
    <col min="8" max="8" width="20" style="560" bestFit="1" customWidth="1"/>
    <col min="9" max="9" width="20.6640625" style="560" bestFit="1" customWidth="1"/>
    <col min="10" max="10" width="18.109375" style="560" bestFit="1" customWidth="1"/>
    <col min="11" max="11" width="14.6640625" style="560" bestFit="1" customWidth="1"/>
    <col min="12" max="12" width="18.109375" style="560" bestFit="1" customWidth="1"/>
    <col min="13" max="13" width="13.21875" style="560" bestFit="1" customWidth="1"/>
    <col min="14" max="14" width="13.33203125" style="560" bestFit="1" customWidth="1"/>
    <col min="15" max="15" width="27" style="560" bestFit="1" customWidth="1"/>
    <col min="16" max="16" width="12.33203125" style="560" bestFit="1" customWidth="1"/>
    <col min="17" max="17" width="17.44140625" style="560" bestFit="1" customWidth="1"/>
    <col min="18" max="18" width="21.33203125" style="560" bestFit="1" customWidth="1"/>
    <col min="19" max="19" width="15.33203125" style="560" bestFit="1" customWidth="1"/>
    <col min="20" max="20" width="12.6640625" style="560" bestFit="1" customWidth="1"/>
    <col min="21" max="21" width="23" style="560" bestFit="1" customWidth="1"/>
    <col min="22" max="22" width="27.5546875" style="560" bestFit="1" customWidth="1"/>
    <col min="23" max="23" width="18.77734375" style="560" bestFit="1" customWidth="1"/>
    <col min="24" max="24" width="19.21875" style="560" bestFit="1" customWidth="1"/>
    <col min="25" max="25" width="10" style="560" bestFit="1" customWidth="1"/>
    <col min="26" max="26" width="5.44140625" style="560" bestFit="1" customWidth="1"/>
    <col min="27" max="27" width="9.6640625" style="560" bestFit="1" customWidth="1"/>
    <col min="28" max="28" width="10.109375" style="560" bestFit="1" customWidth="1"/>
    <col min="29" max="29" width="14.109375" style="560" bestFit="1" customWidth="1"/>
    <col min="30" max="30" width="11.21875" style="560" bestFit="1" customWidth="1"/>
    <col min="31" max="31" width="15.33203125" style="560" bestFit="1" customWidth="1"/>
    <col min="32" max="32" width="16.5546875" style="560" bestFit="1" customWidth="1"/>
    <col min="33" max="33" width="16.6640625" style="560" bestFit="1" customWidth="1"/>
    <col min="34" max="34" width="15.21875" style="560" bestFit="1" customWidth="1"/>
    <col min="35" max="35" width="14.109375" style="560" bestFit="1" customWidth="1"/>
    <col min="36" max="36" width="34.33203125" style="560" bestFit="1" customWidth="1"/>
    <col min="37" max="37" width="18.21875" style="560" bestFit="1" customWidth="1"/>
    <col min="38" max="38" width="40" style="560" bestFit="1" customWidth="1"/>
    <col min="39" max="16384" width="8.88671875" style="560"/>
  </cols>
  <sheetData>
    <row r="1" spans="1:42" s="549" customFormat="1" ht="15" customHeight="1" x14ac:dyDescent="0.3">
      <c r="A1" s="549" t="s">
        <v>399</v>
      </c>
      <c r="B1" s="550" t="s">
        <v>15</v>
      </c>
      <c r="C1" s="550" t="s">
        <v>127</v>
      </c>
      <c r="D1" s="550" t="s">
        <v>128</v>
      </c>
      <c r="E1" s="550" t="s">
        <v>129</v>
      </c>
      <c r="F1" s="551" t="s">
        <v>540</v>
      </c>
      <c r="G1" s="551" t="s">
        <v>85</v>
      </c>
      <c r="H1" s="552" t="s">
        <v>61</v>
      </c>
      <c r="I1" s="553" t="s">
        <v>62</v>
      </c>
      <c r="J1" s="552" t="s">
        <v>763</v>
      </c>
      <c r="K1" s="552" t="s">
        <v>65</v>
      </c>
      <c r="L1" s="552" t="s">
        <v>66</v>
      </c>
      <c r="M1" s="552" t="s">
        <v>67</v>
      </c>
      <c r="N1" s="552" t="s">
        <v>68</v>
      </c>
      <c r="O1" s="552" t="s">
        <v>541</v>
      </c>
      <c r="P1" s="552" t="s">
        <v>147</v>
      </c>
      <c r="Q1" s="552" t="s">
        <v>148</v>
      </c>
      <c r="R1" s="552" t="s">
        <v>141</v>
      </c>
      <c r="S1" s="552" t="s">
        <v>144</v>
      </c>
      <c r="T1" s="552" t="s">
        <v>145</v>
      </c>
      <c r="U1" s="552" t="s">
        <v>146</v>
      </c>
      <c r="V1" s="552" t="s">
        <v>142</v>
      </c>
      <c r="W1" s="552" t="s">
        <v>140</v>
      </c>
      <c r="X1" s="552" t="s">
        <v>143</v>
      </c>
      <c r="Y1" s="552" t="s">
        <v>132</v>
      </c>
      <c r="Z1" s="552" t="s">
        <v>131</v>
      </c>
      <c r="AA1" s="552" t="s">
        <v>134</v>
      </c>
      <c r="AB1" s="552" t="s">
        <v>139</v>
      </c>
      <c r="AC1" s="552" t="s">
        <v>764</v>
      </c>
      <c r="AD1" s="552" t="s">
        <v>133</v>
      </c>
      <c r="AE1" s="553" t="s">
        <v>138</v>
      </c>
      <c r="AF1" s="552" t="s">
        <v>42</v>
      </c>
      <c r="AG1" s="552" t="s">
        <v>135</v>
      </c>
      <c r="AH1" s="552" t="s">
        <v>136</v>
      </c>
      <c r="AI1" s="552" t="s">
        <v>137</v>
      </c>
      <c r="AJ1" s="552" t="s">
        <v>130</v>
      </c>
      <c r="AK1" s="552" t="s">
        <v>602</v>
      </c>
      <c r="AL1" s="552" t="s">
        <v>604</v>
      </c>
    </row>
    <row r="2" spans="1:42" x14ac:dyDescent="0.3">
      <c r="A2" s="554" t="s">
        <v>31</v>
      </c>
      <c r="B2" s="555" t="s">
        <v>829</v>
      </c>
      <c r="C2" s="556">
        <v>802</v>
      </c>
      <c r="D2" s="556">
        <v>1</v>
      </c>
      <c r="E2" s="556" t="s">
        <v>20</v>
      </c>
      <c r="F2" s="556" t="b">
        <v>1</v>
      </c>
      <c r="G2" s="556" t="s">
        <v>20</v>
      </c>
      <c r="H2" s="555" t="s">
        <v>829</v>
      </c>
      <c r="I2" s="557">
        <v>42717</v>
      </c>
      <c r="J2" s="556" t="s">
        <v>830</v>
      </c>
      <c r="K2" s="556" t="b">
        <v>0</v>
      </c>
      <c r="L2" s="556" t="s">
        <v>20</v>
      </c>
      <c r="M2" s="556" t="b">
        <v>0</v>
      </c>
      <c r="N2" s="556" t="b">
        <v>0</v>
      </c>
      <c r="O2" s="556" t="s">
        <v>825</v>
      </c>
      <c r="P2" s="556" t="s">
        <v>20</v>
      </c>
      <c r="Q2" s="556" t="s">
        <v>20</v>
      </c>
      <c r="R2" s="556" t="s">
        <v>20</v>
      </c>
      <c r="S2" s="556" t="s">
        <v>20</v>
      </c>
      <c r="T2" s="556" t="s">
        <v>20</v>
      </c>
      <c r="U2" s="556" t="s">
        <v>20</v>
      </c>
      <c r="V2" s="556" t="s">
        <v>20</v>
      </c>
      <c r="W2" s="556" t="s">
        <v>20</v>
      </c>
      <c r="X2" s="556" t="s">
        <v>20</v>
      </c>
      <c r="Y2" s="556" t="s">
        <v>831</v>
      </c>
      <c r="Z2" s="556" t="s">
        <v>20</v>
      </c>
      <c r="AA2" s="556" t="s">
        <v>20</v>
      </c>
      <c r="AB2" s="556" t="s">
        <v>403</v>
      </c>
      <c r="AC2" s="556" t="s">
        <v>20</v>
      </c>
      <c r="AD2" s="556" t="s">
        <v>407</v>
      </c>
      <c r="AE2" s="558">
        <v>20833</v>
      </c>
      <c r="AF2" s="556" t="s">
        <v>20</v>
      </c>
      <c r="AG2" s="556" t="s">
        <v>20</v>
      </c>
      <c r="AH2" s="556" t="s">
        <v>20</v>
      </c>
      <c r="AI2" s="556" t="s">
        <v>20</v>
      </c>
      <c r="AJ2" s="556" t="s">
        <v>20</v>
      </c>
      <c r="AK2" s="555" t="s">
        <v>829</v>
      </c>
      <c r="AL2" s="555" t="s">
        <v>832</v>
      </c>
      <c r="AM2" s="559"/>
      <c r="AN2" s="559"/>
      <c r="AP2" s="561"/>
    </row>
    <row r="3" spans="1:42" x14ac:dyDescent="0.3">
      <c r="A3" s="554" t="s">
        <v>31</v>
      </c>
      <c r="B3" s="555" t="s">
        <v>829</v>
      </c>
      <c r="C3" s="556">
        <v>803</v>
      </c>
      <c r="D3" s="556">
        <v>1</v>
      </c>
      <c r="E3" s="556" t="s">
        <v>20</v>
      </c>
      <c r="F3" s="556" t="b">
        <v>1</v>
      </c>
      <c r="G3" s="556" t="s">
        <v>20</v>
      </c>
      <c r="H3" s="555" t="s">
        <v>829</v>
      </c>
      <c r="I3" s="557">
        <v>42717</v>
      </c>
      <c r="J3" s="556" t="s">
        <v>830</v>
      </c>
      <c r="K3" s="556" t="b">
        <v>0</v>
      </c>
      <c r="L3" s="556" t="s">
        <v>20</v>
      </c>
      <c r="M3" s="556" t="b">
        <v>0</v>
      </c>
      <c r="N3" s="556" t="b">
        <v>0</v>
      </c>
      <c r="O3" s="556" t="s">
        <v>825</v>
      </c>
      <c r="P3" s="556" t="s">
        <v>20</v>
      </c>
      <c r="Q3" s="556" t="s">
        <v>20</v>
      </c>
      <c r="R3" s="556" t="s">
        <v>20</v>
      </c>
      <c r="S3" s="556" t="s">
        <v>20</v>
      </c>
      <c r="T3" s="556" t="s">
        <v>20</v>
      </c>
      <c r="U3" s="556" t="s">
        <v>20</v>
      </c>
      <c r="V3" s="556" t="s">
        <v>20</v>
      </c>
      <c r="W3" s="556" t="s">
        <v>20</v>
      </c>
      <c r="X3" s="556" t="s">
        <v>20</v>
      </c>
      <c r="Y3" s="556" t="s">
        <v>833</v>
      </c>
      <c r="Z3" s="556" t="s">
        <v>20</v>
      </c>
      <c r="AA3" s="556" t="s">
        <v>20</v>
      </c>
      <c r="AB3" s="556" t="s">
        <v>403</v>
      </c>
      <c r="AC3" s="556" t="s">
        <v>20</v>
      </c>
      <c r="AD3" s="556" t="s">
        <v>834</v>
      </c>
      <c r="AE3" s="558">
        <v>33392</v>
      </c>
      <c r="AF3" s="556" t="s">
        <v>20</v>
      </c>
      <c r="AG3" s="556" t="s">
        <v>20</v>
      </c>
      <c r="AH3" s="556" t="s">
        <v>20</v>
      </c>
      <c r="AI3" s="556" t="s">
        <v>20</v>
      </c>
      <c r="AJ3" s="556" t="s">
        <v>20</v>
      </c>
      <c r="AK3" s="555" t="s">
        <v>829</v>
      </c>
      <c r="AL3" s="555" t="s">
        <v>832</v>
      </c>
      <c r="AM3" s="559"/>
      <c r="AN3" s="559"/>
      <c r="AP3" s="561"/>
    </row>
    <row r="4" spans="1:42" x14ac:dyDescent="0.3">
      <c r="A4" s="554" t="s">
        <v>31</v>
      </c>
      <c r="B4" s="555" t="s">
        <v>829</v>
      </c>
      <c r="C4" s="556">
        <v>804</v>
      </c>
      <c r="D4" s="556">
        <v>1</v>
      </c>
      <c r="E4" s="556" t="s">
        <v>20</v>
      </c>
      <c r="F4" s="556" t="b">
        <v>1</v>
      </c>
      <c r="G4" s="556" t="s">
        <v>20</v>
      </c>
      <c r="H4" s="555" t="s">
        <v>829</v>
      </c>
      <c r="I4" s="557">
        <v>42717</v>
      </c>
      <c r="J4" s="556" t="s">
        <v>830</v>
      </c>
      <c r="K4" s="556" t="b">
        <v>0</v>
      </c>
      <c r="L4" s="556" t="s">
        <v>20</v>
      </c>
      <c r="M4" s="556" t="b">
        <v>0</v>
      </c>
      <c r="N4" s="556" t="b">
        <v>0</v>
      </c>
      <c r="O4" s="556" t="s">
        <v>825</v>
      </c>
      <c r="P4" s="556" t="s">
        <v>20</v>
      </c>
      <c r="Q4" s="556" t="s">
        <v>20</v>
      </c>
      <c r="R4" s="556" t="s">
        <v>20</v>
      </c>
      <c r="S4" s="556" t="s">
        <v>20</v>
      </c>
      <c r="T4" s="556" t="s">
        <v>20</v>
      </c>
      <c r="U4" s="556" t="s">
        <v>20</v>
      </c>
      <c r="V4" s="556" t="s">
        <v>20</v>
      </c>
      <c r="W4" s="556" t="s">
        <v>20</v>
      </c>
      <c r="X4" s="556" t="s">
        <v>20</v>
      </c>
      <c r="Y4" s="556" t="s">
        <v>835</v>
      </c>
      <c r="Z4" s="556" t="s">
        <v>20</v>
      </c>
      <c r="AA4" s="556" t="s">
        <v>20</v>
      </c>
      <c r="AB4" s="556" t="s">
        <v>404</v>
      </c>
      <c r="AC4" s="556" t="s">
        <v>20</v>
      </c>
      <c r="AD4" s="556" t="s">
        <v>407</v>
      </c>
      <c r="AE4" s="558">
        <v>34053</v>
      </c>
      <c r="AF4" s="556" t="s">
        <v>20</v>
      </c>
      <c r="AG4" s="556" t="s">
        <v>20</v>
      </c>
      <c r="AH4" s="556" t="s">
        <v>20</v>
      </c>
      <c r="AI4" s="556" t="s">
        <v>20</v>
      </c>
      <c r="AJ4" s="556" t="s">
        <v>20</v>
      </c>
      <c r="AK4" s="555" t="s">
        <v>829</v>
      </c>
      <c r="AL4" s="555" t="s">
        <v>832</v>
      </c>
      <c r="AM4" s="559"/>
      <c r="AN4" s="559"/>
      <c r="AP4" s="561"/>
    </row>
    <row r="5" spans="1:42" x14ac:dyDescent="0.3">
      <c r="A5" s="554" t="s">
        <v>31</v>
      </c>
      <c r="B5" s="555" t="s">
        <v>829</v>
      </c>
      <c r="C5" s="556">
        <v>838</v>
      </c>
      <c r="D5" s="556">
        <v>1</v>
      </c>
      <c r="E5" s="556" t="s">
        <v>20</v>
      </c>
      <c r="F5" s="556" t="b">
        <v>1</v>
      </c>
      <c r="G5" s="556" t="s">
        <v>20</v>
      </c>
      <c r="H5" s="555" t="s">
        <v>829</v>
      </c>
      <c r="I5" s="557">
        <v>42717</v>
      </c>
      <c r="J5" s="556" t="s">
        <v>830</v>
      </c>
      <c r="K5" s="556" t="b">
        <v>0</v>
      </c>
      <c r="L5" s="556" t="s">
        <v>20</v>
      </c>
      <c r="M5" s="556" t="b">
        <v>0</v>
      </c>
      <c r="N5" s="556" t="b">
        <v>0</v>
      </c>
      <c r="O5" s="556" t="s">
        <v>825</v>
      </c>
      <c r="P5" s="556" t="s">
        <v>20</v>
      </c>
      <c r="Q5" s="556" t="s">
        <v>20</v>
      </c>
      <c r="R5" s="556" t="s">
        <v>20</v>
      </c>
      <c r="S5" s="556" t="s">
        <v>20</v>
      </c>
      <c r="T5" s="556" t="s">
        <v>20</v>
      </c>
      <c r="U5" s="556" t="s">
        <v>20</v>
      </c>
      <c r="V5" s="556" t="s">
        <v>20</v>
      </c>
      <c r="W5" s="556" t="s">
        <v>20</v>
      </c>
      <c r="X5" s="556" t="s">
        <v>20</v>
      </c>
      <c r="Y5" s="556" t="s">
        <v>836</v>
      </c>
      <c r="Z5" s="556" t="s">
        <v>20</v>
      </c>
      <c r="AA5" s="556" t="s">
        <v>20</v>
      </c>
      <c r="AB5" s="556" t="s">
        <v>400</v>
      </c>
      <c r="AC5" s="556" t="s">
        <v>20</v>
      </c>
      <c r="AD5" s="556" t="s">
        <v>837</v>
      </c>
      <c r="AE5" s="558">
        <v>26138</v>
      </c>
      <c r="AF5" s="556" t="s">
        <v>20</v>
      </c>
      <c r="AG5" s="556" t="s">
        <v>20</v>
      </c>
      <c r="AH5" s="556" t="s">
        <v>20</v>
      </c>
      <c r="AI5" s="556" t="s">
        <v>20</v>
      </c>
      <c r="AJ5" s="556" t="s">
        <v>20</v>
      </c>
      <c r="AK5" s="555" t="s">
        <v>829</v>
      </c>
      <c r="AL5" s="555" t="s">
        <v>832</v>
      </c>
      <c r="AM5" s="559"/>
      <c r="AN5" s="559"/>
      <c r="AP5" s="561"/>
    </row>
    <row r="6" spans="1:42" x14ac:dyDescent="0.3">
      <c r="A6" s="554" t="s">
        <v>31</v>
      </c>
      <c r="B6" s="555" t="s">
        <v>829</v>
      </c>
      <c r="C6" s="556">
        <v>840</v>
      </c>
      <c r="D6" s="556">
        <v>1</v>
      </c>
      <c r="E6" s="556" t="s">
        <v>20</v>
      </c>
      <c r="F6" s="556" t="b">
        <v>1</v>
      </c>
      <c r="G6" s="556" t="s">
        <v>20</v>
      </c>
      <c r="H6" s="555" t="s">
        <v>829</v>
      </c>
      <c r="I6" s="557">
        <v>42717</v>
      </c>
      <c r="J6" s="556" t="s">
        <v>830</v>
      </c>
      <c r="K6" s="556" t="b">
        <v>0</v>
      </c>
      <c r="L6" s="556" t="s">
        <v>20</v>
      </c>
      <c r="M6" s="556" t="b">
        <v>0</v>
      </c>
      <c r="N6" s="556" t="b">
        <v>0</v>
      </c>
      <c r="O6" s="556" t="s">
        <v>825</v>
      </c>
      <c r="P6" s="556" t="s">
        <v>20</v>
      </c>
      <c r="Q6" s="556" t="s">
        <v>20</v>
      </c>
      <c r="R6" s="556" t="s">
        <v>20</v>
      </c>
      <c r="S6" s="556" t="s">
        <v>20</v>
      </c>
      <c r="T6" s="556" t="s">
        <v>20</v>
      </c>
      <c r="U6" s="556" t="s">
        <v>20</v>
      </c>
      <c r="V6" s="556" t="s">
        <v>20</v>
      </c>
      <c r="W6" s="556" t="s">
        <v>20</v>
      </c>
      <c r="X6" s="556" t="s">
        <v>20</v>
      </c>
      <c r="Y6" s="556" t="s">
        <v>831</v>
      </c>
      <c r="Z6" s="556" t="s">
        <v>20</v>
      </c>
      <c r="AA6" s="556" t="s">
        <v>20</v>
      </c>
      <c r="AB6" s="556" t="s">
        <v>402</v>
      </c>
      <c r="AC6" s="556" t="s">
        <v>20</v>
      </c>
      <c r="AD6" s="556" t="s">
        <v>838</v>
      </c>
      <c r="AE6" s="558">
        <v>21762</v>
      </c>
      <c r="AF6" s="556" t="s">
        <v>20</v>
      </c>
      <c r="AG6" s="556" t="s">
        <v>20</v>
      </c>
      <c r="AH6" s="556" t="s">
        <v>20</v>
      </c>
      <c r="AI6" s="556" t="s">
        <v>20</v>
      </c>
      <c r="AJ6" s="556" t="s">
        <v>20</v>
      </c>
      <c r="AK6" s="555" t="s">
        <v>829</v>
      </c>
      <c r="AL6" s="555" t="s">
        <v>832</v>
      </c>
      <c r="AM6" s="559"/>
      <c r="AN6" s="559"/>
      <c r="AP6" s="561"/>
    </row>
    <row r="7" spans="1:42" x14ac:dyDescent="0.3">
      <c r="A7" s="554" t="s">
        <v>31</v>
      </c>
      <c r="B7" s="555" t="s">
        <v>829</v>
      </c>
      <c r="C7" s="556">
        <v>367</v>
      </c>
      <c r="D7" s="556">
        <v>1</v>
      </c>
      <c r="E7" s="556" t="s">
        <v>20</v>
      </c>
      <c r="F7" s="556" t="b">
        <v>1</v>
      </c>
      <c r="G7" s="556" t="s">
        <v>20</v>
      </c>
      <c r="H7" s="555" t="s">
        <v>829</v>
      </c>
      <c r="I7" s="557">
        <v>42717</v>
      </c>
      <c r="J7" s="556" t="s">
        <v>830</v>
      </c>
      <c r="K7" s="556" t="s">
        <v>20</v>
      </c>
      <c r="L7" s="556" t="s">
        <v>20</v>
      </c>
      <c r="M7" s="556" t="b">
        <v>0</v>
      </c>
      <c r="N7" s="556" t="b">
        <v>0</v>
      </c>
      <c r="O7" s="556" t="s">
        <v>825</v>
      </c>
      <c r="P7" s="556" t="s">
        <v>20</v>
      </c>
      <c r="Q7" s="556" t="s">
        <v>20</v>
      </c>
      <c r="R7" s="556" t="s">
        <v>20</v>
      </c>
      <c r="S7" s="556" t="s">
        <v>20</v>
      </c>
      <c r="T7" s="556" t="s">
        <v>20</v>
      </c>
      <c r="U7" s="556" t="s">
        <v>20</v>
      </c>
      <c r="V7" s="556" t="s">
        <v>20</v>
      </c>
      <c r="W7" s="556" t="s">
        <v>20</v>
      </c>
      <c r="X7" s="556" t="s">
        <v>20</v>
      </c>
      <c r="Y7" s="556" t="s">
        <v>839</v>
      </c>
      <c r="Z7" s="556" t="s">
        <v>20</v>
      </c>
      <c r="AA7" s="556" t="s">
        <v>20</v>
      </c>
      <c r="AB7" s="556" t="s">
        <v>400</v>
      </c>
      <c r="AC7" s="556" t="s">
        <v>20</v>
      </c>
      <c r="AD7" s="556" t="s">
        <v>840</v>
      </c>
      <c r="AE7" s="558">
        <v>19181</v>
      </c>
      <c r="AF7" s="556" t="s">
        <v>20</v>
      </c>
      <c r="AG7" s="556" t="s">
        <v>20</v>
      </c>
      <c r="AH7" s="556" t="s">
        <v>20</v>
      </c>
      <c r="AI7" s="556" t="s">
        <v>20</v>
      </c>
      <c r="AJ7" s="556" t="s">
        <v>20</v>
      </c>
      <c r="AK7" s="555" t="s">
        <v>829</v>
      </c>
      <c r="AL7" s="555" t="s">
        <v>832</v>
      </c>
      <c r="AM7" s="559"/>
      <c r="AN7" s="559"/>
      <c r="AP7" s="561"/>
    </row>
    <row r="8" spans="1:42" x14ac:dyDescent="0.3">
      <c r="A8" s="554" t="s">
        <v>31</v>
      </c>
      <c r="B8" s="555" t="s">
        <v>829</v>
      </c>
      <c r="C8" s="556">
        <v>368</v>
      </c>
      <c r="D8" s="556">
        <v>1</v>
      </c>
      <c r="E8" s="556" t="s">
        <v>20</v>
      </c>
      <c r="F8" s="556" t="b">
        <v>1</v>
      </c>
      <c r="G8" s="556" t="s">
        <v>20</v>
      </c>
      <c r="H8" s="555" t="s">
        <v>829</v>
      </c>
      <c r="I8" s="557">
        <v>42717</v>
      </c>
      <c r="J8" s="556" t="s">
        <v>830</v>
      </c>
      <c r="K8" s="556" t="s">
        <v>20</v>
      </c>
      <c r="L8" s="556" t="s">
        <v>20</v>
      </c>
      <c r="M8" s="556" t="b">
        <v>0</v>
      </c>
      <c r="N8" s="556" t="b">
        <v>0</v>
      </c>
      <c r="O8" s="556" t="s">
        <v>825</v>
      </c>
      <c r="P8" s="556" t="s">
        <v>20</v>
      </c>
      <c r="Q8" s="556" t="s">
        <v>20</v>
      </c>
      <c r="R8" s="556" t="s">
        <v>20</v>
      </c>
      <c r="S8" s="556" t="s">
        <v>20</v>
      </c>
      <c r="T8" s="556" t="s">
        <v>20</v>
      </c>
      <c r="U8" s="556" t="s">
        <v>20</v>
      </c>
      <c r="V8" s="556" t="s">
        <v>20</v>
      </c>
      <c r="W8" s="556" t="s">
        <v>20</v>
      </c>
      <c r="X8" s="556" t="s">
        <v>20</v>
      </c>
      <c r="Y8" s="556" t="s">
        <v>841</v>
      </c>
      <c r="Z8" s="556" t="s">
        <v>20</v>
      </c>
      <c r="AA8" s="556" t="s">
        <v>20</v>
      </c>
      <c r="AB8" s="556" t="s">
        <v>400</v>
      </c>
      <c r="AC8" s="556" t="s">
        <v>20</v>
      </c>
      <c r="AD8" s="556" t="s">
        <v>838</v>
      </c>
      <c r="AE8" s="558">
        <v>25179</v>
      </c>
      <c r="AF8" s="556" t="s">
        <v>20</v>
      </c>
      <c r="AG8" s="556" t="s">
        <v>20</v>
      </c>
      <c r="AH8" s="556" t="s">
        <v>20</v>
      </c>
      <c r="AI8" s="556" t="s">
        <v>20</v>
      </c>
      <c r="AJ8" s="556" t="s">
        <v>20</v>
      </c>
      <c r="AK8" s="555" t="s">
        <v>829</v>
      </c>
      <c r="AL8" s="555" t="s">
        <v>832</v>
      </c>
      <c r="AM8" s="559"/>
      <c r="AN8" s="559"/>
      <c r="AP8" s="561"/>
    </row>
    <row r="9" spans="1:42" x14ac:dyDescent="0.3">
      <c r="A9" s="554" t="s">
        <v>31</v>
      </c>
      <c r="B9" s="555" t="s">
        <v>829</v>
      </c>
      <c r="C9" s="556">
        <v>369</v>
      </c>
      <c r="D9" s="556">
        <v>1</v>
      </c>
      <c r="E9" s="556" t="s">
        <v>20</v>
      </c>
      <c r="F9" s="556" t="b">
        <v>1</v>
      </c>
      <c r="G9" s="556" t="s">
        <v>20</v>
      </c>
      <c r="H9" s="555" t="s">
        <v>829</v>
      </c>
      <c r="I9" s="557">
        <v>42717</v>
      </c>
      <c r="J9" s="556" t="s">
        <v>830</v>
      </c>
      <c r="K9" s="556" t="s">
        <v>20</v>
      </c>
      <c r="L9" s="556" t="s">
        <v>20</v>
      </c>
      <c r="M9" s="556" t="b">
        <v>0</v>
      </c>
      <c r="N9" s="556" t="b">
        <v>0</v>
      </c>
      <c r="O9" s="556" t="s">
        <v>825</v>
      </c>
      <c r="P9" s="556" t="s">
        <v>20</v>
      </c>
      <c r="Q9" s="556" t="s">
        <v>20</v>
      </c>
      <c r="R9" s="556" t="s">
        <v>20</v>
      </c>
      <c r="S9" s="556" t="s">
        <v>20</v>
      </c>
      <c r="T9" s="556" t="s">
        <v>20</v>
      </c>
      <c r="U9" s="556" t="s">
        <v>20</v>
      </c>
      <c r="V9" s="556" t="s">
        <v>20</v>
      </c>
      <c r="W9" s="556" t="s">
        <v>20</v>
      </c>
      <c r="X9" s="556" t="s">
        <v>20</v>
      </c>
      <c r="Y9" s="556" t="s">
        <v>839</v>
      </c>
      <c r="Z9" s="556" t="s">
        <v>20</v>
      </c>
      <c r="AA9" s="556" t="s">
        <v>20</v>
      </c>
      <c r="AB9" s="556" t="s">
        <v>403</v>
      </c>
      <c r="AC9" s="556" t="s">
        <v>20</v>
      </c>
      <c r="AD9" s="556" t="s">
        <v>834</v>
      </c>
      <c r="AE9" s="558">
        <v>27126</v>
      </c>
      <c r="AF9" s="556" t="s">
        <v>20</v>
      </c>
      <c r="AG9" s="556" t="s">
        <v>20</v>
      </c>
      <c r="AH9" s="556" t="s">
        <v>20</v>
      </c>
      <c r="AI9" s="556" t="s">
        <v>20</v>
      </c>
      <c r="AJ9" s="556" t="s">
        <v>20</v>
      </c>
      <c r="AK9" s="555" t="s">
        <v>829</v>
      </c>
      <c r="AL9" s="555" t="s">
        <v>832</v>
      </c>
      <c r="AM9" s="559"/>
      <c r="AN9" s="559"/>
      <c r="AP9" s="561"/>
    </row>
    <row r="10" spans="1:42" x14ac:dyDescent="0.3">
      <c r="A10" s="554" t="s">
        <v>31</v>
      </c>
      <c r="B10" s="555" t="s">
        <v>829</v>
      </c>
      <c r="C10" s="556">
        <v>370</v>
      </c>
      <c r="D10" s="556">
        <v>1</v>
      </c>
      <c r="E10" s="556" t="s">
        <v>20</v>
      </c>
      <c r="F10" s="556" t="b">
        <v>1</v>
      </c>
      <c r="G10" s="556" t="s">
        <v>20</v>
      </c>
      <c r="H10" s="555" t="s">
        <v>829</v>
      </c>
      <c r="I10" s="557">
        <v>42717</v>
      </c>
      <c r="J10" s="556" t="s">
        <v>830</v>
      </c>
      <c r="K10" s="556" t="s">
        <v>20</v>
      </c>
      <c r="L10" s="556" t="s">
        <v>20</v>
      </c>
      <c r="M10" s="556" t="b">
        <v>0</v>
      </c>
      <c r="N10" s="556" t="b">
        <v>0</v>
      </c>
      <c r="O10" s="556" t="s">
        <v>825</v>
      </c>
      <c r="P10" s="556" t="s">
        <v>20</v>
      </c>
      <c r="Q10" s="556" t="s">
        <v>20</v>
      </c>
      <c r="R10" s="556" t="s">
        <v>20</v>
      </c>
      <c r="S10" s="556" t="s">
        <v>20</v>
      </c>
      <c r="T10" s="556" t="s">
        <v>20</v>
      </c>
      <c r="U10" s="556" t="s">
        <v>20</v>
      </c>
      <c r="V10" s="556" t="s">
        <v>20</v>
      </c>
      <c r="W10" s="556" t="s">
        <v>20</v>
      </c>
      <c r="X10" s="556" t="s">
        <v>20</v>
      </c>
      <c r="Y10" s="556" t="s">
        <v>842</v>
      </c>
      <c r="Z10" s="556" t="s">
        <v>20</v>
      </c>
      <c r="AA10" s="556" t="s">
        <v>20</v>
      </c>
      <c r="AB10" s="556" t="s">
        <v>401</v>
      </c>
      <c r="AC10" s="556" t="s">
        <v>20</v>
      </c>
      <c r="AD10" s="556" t="s">
        <v>843</v>
      </c>
      <c r="AE10" s="558">
        <v>31629</v>
      </c>
      <c r="AF10" s="556" t="s">
        <v>20</v>
      </c>
      <c r="AG10" s="556" t="s">
        <v>20</v>
      </c>
      <c r="AH10" s="556" t="s">
        <v>20</v>
      </c>
      <c r="AI10" s="556" t="s">
        <v>20</v>
      </c>
      <c r="AJ10" s="556" t="s">
        <v>20</v>
      </c>
      <c r="AK10" s="555" t="s">
        <v>829</v>
      </c>
      <c r="AL10" s="555" t="s">
        <v>832</v>
      </c>
      <c r="AM10" s="559"/>
      <c r="AN10" s="559"/>
      <c r="AP10" s="561"/>
    </row>
    <row r="11" spans="1:42" x14ac:dyDescent="0.3">
      <c r="A11" s="554" t="s">
        <v>31</v>
      </c>
      <c r="B11" s="555" t="s">
        <v>829</v>
      </c>
      <c r="C11" s="556">
        <v>371</v>
      </c>
      <c r="D11" s="556">
        <v>1</v>
      </c>
      <c r="E11" s="556" t="s">
        <v>20</v>
      </c>
      <c r="F11" s="556" t="b">
        <v>1</v>
      </c>
      <c r="G11" s="556" t="s">
        <v>20</v>
      </c>
      <c r="H11" s="555" t="s">
        <v>829</v>
      </c>
      <c r="I11" s="557">
        <v>42717</v>
      </c>
      <c r="J11" s="556" t="s">
        <v>830</v>
      </c>
      <c r="K11" s="556" t="s">
        <v>20</v>
      </c>
      <c r="L11" s="556" t="s">
        <v>20</v>
      </c>
      <c r="M11" s="556" t="b">
        <v>0</v>
      </c>
      <c r="N11" s="556" t="b">
        <v>0</v>
      </c>
      <c r="O11" s="556" t="s">
        <v>825</v>
      </c>
      <c r="P11" s="556" t="s">
        <v>20</v>
      </c>
      <c r="Q11" s="556" t="s">
        <v>20</v>
      </c>
      <c r="R11" s="556" t="s">
        <v>20</v>
      </c>
      <c r="S11" s="556" t="s">
        <v>20</v>
      </c>
      <c r="T11" s="556" t="s">
        <v>20</v>
      </c>
      <c r="U11" s="556" t="s">
        <v>20</v>
      </c>
      <c r="V11" s="556" t="s">
        <v>20</v>
      </c>
      <c r="W11" s="556" t="s">
        <v>20</v>
      </c>
      <c r="X11" s="556" t="s">
        <v>20</v>
      </c>
      <c r="Y11" s="556" t="s">
        <v>844</v>
      </c>
      <c r="Z11" s="556" t="s">
        <v>20</v>
      </c>
      <c r="AA11" s="556" t="s">
        <v>20</v>
      </c>
      <c r="AB11" s="556" t="s">
        <v>404</v>
      </c>
      <c r="AC11" s="556" t="s">
        <v>20</v>
      </c>
      <c r="AD11" s="556" t="s">
        <v>840</v>
      </c>
      <c r="AE11" s="558">
        <v>20007</v>
      </c>
      <c r="AF11" s="556" t="s">
        <v>20</v>
      </c>
      <c r="AG11" s="556" t="s">
        <v>20</v>
      </c>
      <c r="AH11" s="556" t="s">
        <v>20</v>
      </c>
      <c r="AI11" s="556" t="s">
        <v>20</v>
      </c>
      <c r="AJ11" s="556" t="s">
        <v>20</v>
      </c>
      <c r="AK11" s="555" t="s">
        <v>829</v>
      </c>
      <c r="AL11" s="555" t="s">
        <v>832</v>
      </c>
      <c r="AM11" s="559"/>
      <c r="AN11" s="559"/>
      <c r="AP11" s="561"/>
    </row>
    <row r="12" spans="1:42" ht="15" customHeight="1" x14ac:dyDescent="0.3">
      <c r="A12" s="554" t="s">
        <v>48</v>
      </c>
      <c r="B12" s="555" t="s">
        <v>829</v>
      </c>
      <c r="C12" s="556">
        <v>494</v>
      </c>
      <c r="D12" s="556">
        <v>1</v>
      </c>
      <c r="E12" s="556" t="s">
        <v>20</v>
      </c>
      <c r="F12" s="556" t="b">
        <v>1</v>
      </c>
      <c r="G12" s="556" t="s">
        <v>20</v>
      </c>
      <c r="H12" s="555" t="s">
        <v>829</v>
      </c>
      <c r="I12" s="557">
        <v>42717</v>
      </c>
      <c r="J12" s="556" t="s">
        <v>830</v>
      </c>
      <c r="K12" s="556" t="s">
        <v>20</v>
      </c>
      <c r="L12" s="556" t="s">
        <v>20</v>
      </c>
      <c r="M12" s="556" t="b">
        <v>0</v>
      </c>
      <c r="N12" s="556" t="b">
        <v>0</v>
      </c>
      <c r="O12" s="556" t="s">
        <v>845</v>
      </c>
      <c r="P12" s="556" t="s">
        <v>20</v>
      </c>
      <c r="Q12" s="556" t="s">
        <v>846</v>
      </c>
      <c r="R12" s="556" t="s">
        <v>847</v>
      </c>
      <c r="S12" s="556" t="s">
        <v>20</v>
      </c>
      <c r="T12" s="556" t="s">
        <v>402</v>
      </c>
      <c r="U12" s="556" t="s">
        <v>848</v>
      </c>
      <c r="V12" s="556" t="s">
        <v>20</v>
      </c>
      <c r="W12" s="556" t="s">
        <v>20</v>
      </c>
      <c r="X12" s="556" t="s">
        <v>20</v>
      </c>
      <c r="Y12" s="556" t="s">
        <v>20</v>
      </c>
      <c r="Z12" s="556" t="s">
        <v>20</v>
      </c>
      <c r="AA12" s="556" t="s">
        <v>20</v>
      </c>
      <c r="AB12" s="556" t="s">
        <v>20</v>
      </c>
      <c r="AC12" s="556" t="s">
        <v>20</v>
      </c>
      <c r="AD12" s="556" t="s">
        <v>20</v>
      </c>
      <c r="AE12" s="558" t="s">
        <v>20</v>
      </c>
      <c r="AF12" s="556" t="s">
        <v>20</v>
      </c>
      <c r="AG12" s="556" t="s">
        <v>20</v>
      </c>
      <c r="AH12" s="556" t="s">
        <v>20</v>
      </c>
      <c r="AI12" s="556" t="s">
        <v>20</v>
      </c>
      <c r="AJ12" s="556" t="s">
        <v>20</v>
      </c>
      <c r="AK12" s="555" t="s">
        <v>829</v>
      </c>
      <c r="AL12" s="555" t="s">
        <v>832</v>
      </c>
      <c r="AM12" s="559"/>
      <c r="AN12" s="559"/>
      <c r="AP12" s="561"/>
    </row>
    <row r="13" spans="1:42" x14ac:dyDescent="0.3">
      <c r="A13" s="554" t="s">
        <v>48</v>
      </c>
      <c r="B13" s="555" t="s">
        <v>829</v>
      </c>
      <c r="C13" s="556">
        <v>495</v>
      </c>
      <c r="D13" s="556">
        <v>1</v>
      </c>
      <c r="E13" s="556" t="s">
        <v>20</v>
      </c>
      <c r="F13" s="556" t="b">
        <v>1</v>
      </c>
      <c r="G13" s="556" t="s">
        <v>20</v>
      </c>
      <c r="H13" s="555" t="s">
        <v>829</v>
      </c>
      <c r="I13" s="557">
        <v>42717</v>
      </c>
      <c r="J13" s="556" t="s">
        <v>830</v>
      </c>
      <c r="K13" s="556" t="s">
        <v>20</v>
      </c>
      <c r="L13" s="556" t="s">
        <v>20</v>
      </c>
      <c r="M13" s="556" t="b">
        <v>0</v>
      </c>
      <c r="N13" s="556" t="b">
        <v>0</v>
      </c>
      <c r="O13" s="556" t="s">
        <v>845</v>
      </c>
      <c r="P13" s="556" t="s">
        <v>20</v>
      </c>
      <c r="Q13" s="556" t="s">
        <v>849</v>
      </c>
      <c r="R13" s="556" t="s">
        <v>850</v>
      </c>
      <c r="S13" s="556" t="s">
        <v>20</v>
      </c>
      <c r="T13" s="556" t="s">
        <v>400</v>
      </c>
      <c r="U13" s="556" t="s">
        <v>851</v>
      </c>
      <c r="V13" s="556" t="s">
        <v>20</v>
      </c>
      <c r="W13" s="556" t="s">
        <v>20</v>
      </c>
      <c r="X13" s="556" t="s">
        <v>20</v>
      </c>
      <c r="Y13" s="556" t="s">
        <v>20</v>
      </c>
      <c r="Z13" s="556" t="s">
        <v>20</v>
      </c>
      <c r="AA13" s="556" t="s">
        <v>20</v>
      </c>
      <c r="AB13" s="556" t="s">
        <v>20</v>
      </c>
      <c r="AC13" s="556" t="s">
        <v>20</v>
      </c>
      <c r="AD13" s="556" t="s">
        <v>20</v>
      </c>
      <c r="AE13" s="558" t="s">
        <v>20</v>
      </c>
      <c r="AF13" s="556" t="s">
        <v>20</v>
      </c>
      <c r="AG13" s="556" t="s">
        <v>20</v>
      </c>
      <c r="AH13" s="556" t="s">
        <v>20</v>
      </c>
      <c r="AI13" s="556" t="s">
        <v>20</v>
      </c>
      <c r="AJ13" s="556" t="s">
        <v>20</v>
      </c>
      <c r="AK13" s="555" t="s">
        <v>829</v>
      </c>
      <c r="AL13" s="555" t="s">
        <v>832</v>
      </c>
      <c r="AM13" s="559"/>
      <c r="AN13" s="559"/>
      <c r="AP13" s="561"/>
    </row>
    <row r="14" spans="1:42" x14ac:dyDescent="0.3">
      <c r="A14" s="554" t="s">
        <v>48</v>
      </c>
      <c r="B14" s="555" t="s">
        <v>829</v>
      </c>
      <c r="C14" s="556">
        <v>497</v>
      </c>
      <c r="D14" s="556">
        <v>1</v>
      </c>
      <c r="E14" s="556" t="s">
        <v>20</v>
      </c>
      <c r="F14" s="556" t="b">
        <v>1</v>
      </c>
      <c r="G14" s="556" t="s">
        <v>20</v>
      </c>
      <c r="H14" s="555" t="s">
        <v>829</v>
      </c>
      <c r="I14" s="557">
        <v>42717</v>
      </c>
      <c r="J14" s="556" t="s">
        <v>830</v>
      </c>
      <c r="K14" s="556" t="s">
        <v>20</v>
      </c>
      <c r="L14" s="556" t="s">
        <v>20</v>
      </c>
      <c r="M14" s="556" t="b">
        <v>0</v>
      </c>
      <c r="N14" s="556" t="b">
        <v>0</v>
      </c>
      <c r="O14" s="556" t="s">
        <v>845</v>
      </c>
      <c r="P14" s="556" t="s">
        <v>20</v>
      </c>
      <c r="Q14" s="556" t="s">
        <v>852</v>
      </c>
      <c r="R14" s="556" t="s">
        <v>853</v>
      </c>
      <c r="S14" s="556" t="s">
        <v>20</v>
      </c>
      <c r="T14" s="556" t="s">
        <v>20</v>
      </c>
      <c r="U14" s="556" t="s">
        <v>20</v>
      </c>
      <c r="V14" s="556" t="s">
        <v>20</v>
      </c>
      <c r="W14" s="556" t="s">
        <v>20</v>
      </c>
      <c r="X14" s="556" t="s">
        <v>20</v>
      </c>
      <c r="Y14" s="556" t="s">
        <v>20</v>
      </c>
      <c r="Z14" s="556" t="s">
        <v>20</v>
      </c>
      <c r="AA14" s="556" t="s">
        <v>20</v>
      </c>
      <c r="AB14" s="556" t="s">
        <v>20</v>
      </c>
      <c r="AC14" s="556" t="s">
        <v>20</v>
      </c>
      <c r="AD14" s="556" t="s">
        <v>20</v>
      </c>
      <c r="AE14" s="558" t="s">
        <v>20</v>
      </c>
      <c r="AF14" s="556" t="s">
        <v>20</v>
      </c>
      <c r="AG14" s="556" t="s">
        <v>20</v>
      </c>
      <c r="AH14" s="556" t="s">
        <v>20</v>
      </c>
      <c r="AI14" s="556" t="s">
        <v>20</v>
      </c>
      <c r="AJ14" s="556" t="s">
        <v>20</v>
      </c>
      <c r="AK14" s="555" t="s">
        <v>829</v>
      </c>
      <c r="AL14" s="555" t="s">
        <v>832</v>
      </c>
      <c r="AM14" s="559"/>
      <c r="AN14" s="559"/>
      <c r="AP14" s="561"/>
    </row>
    <row r="15" spans="1:42" x14ac:dyDescent="0.3">
      <c r="A15" s="554" t="s">
        <v>48</v>
      </c>
      <c r="B15" s="555" t="s">
        <v>829</v>
      </c>
      <c r="C15" s="556">
        <v>571</v>
      </c>
      <c r="D15" s="556">
        <v>1</v>
      </c>
      <c r="E15" s="556" t="s">
        <v>20</v>
      </c>
      <c r="F15" s="556" t="b">
        <v>1</v>
      </c>
      <c r="G15" s="556" t="s">
        <v>20</v>
      </c>
      <c r="H15" s="555" t="s">
        <v>829</v>
      </c>
      <c r="I15" s="557">
        <v>42717</v>
      </c>
      <c r="J15" s="556" t="s">
        <v>830</v>
      </c>
      <c r="K15" s="556" t="s">
        <v>20</v>
      </c>
      <c r="L15" s="556" t="s">
        <v>20</v>
      </c>
      <c r="M15" s="556" t="b">
        <v>0</v>
      </c>
      <c r="N15" s="556" t="b">
        <v>0</v>
      </c>
      <c r="O15" s="556" t="s">
        <v>845</v>
      </c>
      <c r="P15" s="556" t="s">
        <v>20</v>
      </c>
      <c r="Q15" s="556" t="s">
        <v>854</v>
      </c>
      <c r="R15" s="556" t="s">
        <v>855</v>
      </c>
      <c r="S15" s="556" t="s">
        <v>20</v>
      </c>
      <c r="T15" s="556" t="s">
        <v>401</v>
      </c>
      <c r="U15" s="556" t="s">
        <v>856</v>
      </c>
      <c r="V15" s="556" t="s">
        <v>20</v>
      </c>
      <c r="W15" s="556" t="s">
        <v>20</v>
      </c>
      <c r="X15" s="556" t="s">
        <v>20</v>
      </c>
      <c r="Y15" s="556" t="s">
        <v>20</v>
      </c>
      <c r="Z15" s="556" t="s">
        <v>20</v>
      </c>
      <c r="AA15" s="556" t="s">
        <v>20</v>
      </c>
      <c r="AB15" s="556" t="s">
        <v>20</v>
      </c>
      <c r="AC15" s="556" t="s">
        <v>20</v>
      </c>
      <c r="AD15" s="556" t="s">
        <v>20</v>
      </c>
      <c r="AE15" s="558" t="s">
        <v>20</v>
      </c>
      <c r="AF15" s="556" t="s">
        <v>20</v>
      </c>
      <c r="AG15" s="556" t="s">
        <v>20</v>
      </c>
      <c r="AH15" s="556" t="s">
        <v>20</v>
      </c>
      <c r="AI15" s="556" t="s">
        <v>20</v>
      </c>
      <c r="AJ15" s="556" t="s">
        <v>20</v>
      </c>
      <c r="AK15" s="555" t="s">
        <v>829</v>
      </c>
      <c r="AL15" s="555" t="s">
        <v>832</v>
      </c>
      <c r="AM15" s="559"/>
      <c r="AN15" s="559"/>
      <c r="AP15" s="561"/>
    </row>
    <row r="16" spans="1:42" x14ac:dyDescent="0.3">
      <c r="A16" s="554" t="s">
        <v>48</v>
      </c>
      <c r="B16" s="555" t="s">
        <v>829</v>
      </c>
      <c r="C16" s="556">
        <v>574</v>
      </c>
      <c r="D16" s="556">
        <v>1</v>
      </c>
      <c r="E16" s="556" t="s">
        <v>20</v>
      </c>
      <c r="F16" s="556" t="b">
        <v>1</v>
      </c>
      <c r="G16" s="556" t="s">
        <v>20</v>
      </c>
      <c r="H16" s="555" t="s">
        <v>829</v>
      </c>
      <c r="I16" s="557">
        <v>42717</v>
      </c>
      <c r="J16" s="556" t="s">
        <v>830</v>
      </c>
      <c r="K16" s="556" t="s">
        <v>20</v>
      </c>
      <c r="L16" s="556" t="s">
        <v>20</v>
      </c>
      <c r="M16" s="556" t="b">
        <v>0</v>
      </c>
      <c r="N16" s="556" t="b">
        <v>0</v>
      </c>
      <c r="O16" s="556" t="s">
        <v>845</v>
      </c>
      <c r="P16" s="556" t="s">
        <v>20</v>
      </c>
      <c r="Q16" s="556" t="s">
        <v>857</v>
      </c>
      <c r="R16" s="556" t="s">
        <v>858</v>
      </c>
      <c r="S16" s="556" t="s">
        <v>20</v>
      </c>
      <c r="T16" s="556" t="s">
        <v>404</v>
      </c>
      <c r="U16" s="556" t="s">
        <v>859</v>
      </c>
      <c r="V16" s="556" t="s">
        <v>20</v>
      </c>
      <c r="W16" s="556" t="s">
        <v>20</v>
      </c>
      <c r="X16" s="556" t="s">
        <v>20</v>
      </c>
      <c r="Y16" s="556" t="s">
        <v>20</v>
      </c>
      <c r="Z16" s="556" t="s">
        <v>20</v>
      </c>
      <c r="AA16" s="556" t="s">
        <v>20</v>
      </c>
      <c r="AB16" s="556" t="s">
        <v>20</v>
      </c>
      <c r="AC16" s="556" t="s">
        <v>20</v>
      </c>
      <c r="AD16" s="556" t="s">
        <v>20</v>
      </c>
      <c r="AE16" s="558" t="s">
        <v>20</v>
      </c>
      <c r="AF16" s="556" t="s">
        <v>20</v>
      </c>
      <c r="AG16" s="556" t="s">
        <v>20</v>
      </c>
      <c r="AH16" s="556" t="s">
        <v>20</v>
      </c>
      <c r="AI16" s="556" t="s">
        <v>20</v>
      </c>
      <c r="AJ16" s="556" t="s">
        <v>20</v>
      </c>
      <c r="AK16" s="555" t="s">
        <v>829</v>
      </c>
      <c r="AL16" s="555" t="s">
        <v>832</v>
      </c>
      <c r="AM16" s="559"/>
      <c r="AN16" s="559"/>
      <c r="AP16" s="561"/>
    </row>
    <row r="17" spans="1:44" x14ac:dyDescent="0.3">
      <c r="A17" s="554" t="s">
        <v>48</v>
      </c>
      <c r="B17" s="555" t="s">
        <v>829</v>
      </c>
      <c r="C17" s="556">
        <v>576</v>
      </c>
      <c r="D17" s="556">
        <v>1</v>
      </c>
      <c r="E17" s="556" t="s">
        <v>20</v>
      </c>
      <c r="F17" s="556" t="b">
        <v>1</v>
      </c>
      <c r="G17" s="556" t="s">
        <v>20</v>
      </c>
      <c r="H17" s="555" t="s">
        <v>829</v>
      </c>
      <c r="I17" s="557">
        <v>42717</v>
      </c>
      <c r="J17" s="556" t="s">
        <v>830</v>
      </c>
      <c r="K17" s="556" t="s">
        <v>20</v>
      </c>
      <c r="L17" s="556" t="s">
        <v>20</v>
      </c>
      <c r="M17" s="556" t="b">
        <v>0</v>
      </c>
      <c r="N17" s="556" t="b">
        <v>0</v>
      </c>
      <c r="O17" s="556" t="s">
        <v>845</v>
      </c>
      <c r="P17" s="556" t="s">
        <v>20</v>
      </c>
      <c r="Q17" s="556" t="s">
        <v>860</v>
      </c>
      <c r="R17" s="556" t="s">
        <v>861</v>
      </c>
      <c r="S17" s="556" t="s">
        <v>20</v>
      </c>
      <c r="T17" s="556" t="s">
        <v>405</v>
      </c>
      <c r="U17" s="556" t="s">
        <v>862</v>
      </c>
      <c r="V17" s="556" t="s">
        <v>20</v>
      </c>
      <c r="W17" s="556" t="s">
        <v>20</v>
      </c>
      <c r="X17" s="556" t="s">
        <v>20</v>
      </c>
      <c r="Y17" s="556" t="s">
        <v>20</v>
      </c>
      <c r="Z17" s="556" t="s">
        <v>20</v>
      </c>
      <c r="AA17" s="556" t="s">
        <v>20</v>
      </c>
      <c r="AB17" s="556" t="s">
        <v>20</v>
      </c>
      <c r="AC17" s="556" t="s">
        <v>20</v>
      </c>
      <c r="AD17" s="556" t="s">
        <v>20</v>
      </c>
      <c r="AE17" s="558" t="s">
        <v>20</v>
      </c>
      <c r="AF17" s="556" t="s">
        <v>20</v>
      </c>
      <c r="AG17" s="556" t="s">
        <v>20</v>
      </c>
      <c r="AH17" s="556" t="s">
        <v>20</v>
      </c>
      <c r="AI17" s="556" t="s">
        <v>20</v>
      </c>
      <c r="AJ17" s="556" t="s">
        <v>20</v>
      </c>
      <c r="AK17" s="555" t="s">
        <v>829</v>
      </c>
      <c r="AL17" s="555" t="s">
        <v>832</v>
      </c>
      <c r="AM17" s="559"/>
      <c r="AN17" s="559"/>
      <c r="AP17" s="561"/>
    </row>
    <row r="18" spans="1:44" x14ac:dyDescent="0.3">
      <c r="A18" s="554" t="s">
        <v>48</v>
      </c>
      <c r="B18" s="555" t="s">
        <v>829</v>
      </c>
      <c r="C18" s="556">
        <v>582</v>
      </c>
      <c r="D18" s="556">
        <v>1</v>
      </c>
      <c r="E18" s="556" t="s">
        <v>20</v>
      </c>
      <c r="F18" s="556" t="b">
        <v>1</v>
      </c>
      <c r="G18" s="556" t="s">
        <v>20</v>
      </c>
      <c r="H18" s="555" t="s">
        <v>829</v>
      </c>
      <c r="I18" s="557">
        <v>42717</v>
      </c>
      <c r="J18" s="556" t="s">
        <v>830</v>
      </c>
      <c r="K18" s="556" t="s">
        <v>20</v>
      </c>
      <c r="L18" s="556" t="s">
        <v>20</v>
      </c>
      <c r="M18" s="556" t="b">
        <v>0</v>
      </c>
      <c r="N18" s="556" t="b">
        <v>0</v>
      </c>
      <c r="O18" s="556" t="s">
        <v>845</v>
      </c>
      <c r="P18" s="556" t="s">
        <v>20</v>
      </c>
      <c r="Q18" s="556" t="s">
        <v>863</v>
      </c>
      <c r="R18" s="556" t="s">
        <v>864</v>
      </c>
      <c r="S18" s="556" t="s">
        <v>20</v>
      </c>
      <c r="T18" s="556" t="s">
        <v>400</v>
      </c>
      <c r="U18" s="556" t="s">
        <v>851</v>
      </c>
      <c r="V18" s="556" t="s">
        <v>20</v>
      </c>
      <c r="W18" s="556" t="s">
        <v>20</v>
      </c>
      <c r="X18" s="556" t="s">
        <v>20</v>
      </c>
      <c r="Y18" s="556" t="s">
        <v>20</v>
      </c>
      <c r="Z18" s="556" t="s">
        <v>20</v>
      </c>
      <c r="AA18" s="556" t="s">
        <v>20</v>
      </c>
      <c r="AB18" s="556" t="s">
        <v>20</v>
      </c>
      <c r="AC18" s="556" t="s">
        <v>20</v>
      </c>
      <c r="AD18" s="556" t="s">
        <v>20</v>
      </c>
      <c r="AE18" s="558" t="s">
        <v>20</v>
      </c>
      <c r="AF18" s="556" t="s">
        <v>20</v>
      </c>
      <c r="AG18" s="556" t="s">
        <v>20</v>
      </c>
      <c r="AH18" s="556" t="s">
        <v>20</v>
      </c>
      <c r="AI18" s="556" t="s">
        <v>20</v>
      </c>
      <c r="AJ18" s="556" t="s">
        <v>20</v>
      </c>
      <c r="AK18" s="555" t="s">
        <v>829</v>
      </c>
      <c r="AL18" s="555" t="s">
        <v>832</v>
      </c>
      <c r="AM18" s="559"/>
      <c r="AN18" s="559"/>
      <c r="AP18" s="561"/>
    </row>
    <row r="19" spans="1:44" ht="15" customHeight="1" x14ac:dyDescent="0.3">
      <c r="A19" s="562" t="s">
        <v>335</v>
      </c>
      <c r="B19" s="555" t="s">
        <v>829</v>
      </c>
      <c r="C19" s="556">
        <v>466</v>
      </c>
      <c r="D19" s="563">
        <v>1</v>
      </c>
      <c r="E19" s="563" t="s">
        <v>20</v>
      </c>
      <c r="F19" s="563" t="b">
        <v>1</v>
      </c>
      <c r="G19" s="563" t="s">
        <v>20</v>
      </c>
      <c r="H19" s="555" t="s">
        <v>829</v>
      </c>
      <c r="I19" s="564">
        <v>42717</v>
      </c>
      <c r="J19" s="563" t="s">
        <v>830</v>
      </c>
      <c r="K19" s="563" t="s">
        <v>20</v>
      </c>
      <c r="L19" s="563" t="s">
        <v>20</v>
      </c>
      <c r="M19" s="563" t="b">
        <v>0</v>
      </c>
      <c r="N19" s="563" t="b">
        <v>0</v>
      </c>
      <c r="O19" s="563" t="s">
        <v>845</v>
      </c>
      <c r="P19" s="563" t="s">
        <v>20</v>
      </c>
      <c r="Q19" s="563">
        <v>123466</v>
      </c>
      <c r="R19" s="563" t="s">
        <v>865</v>
      </c>
      <c r="S19" s="563" t="s">
        <v>20</v>
      </c>
      <c r="T19" s="563" t="s">
        <v>866</v>
      </c>
      <c r="U19" s="563" t="s">
        <v>20</v>
      </c>
      <c r="V19" s="563" t="s">
        <v>406</v>
      </c>
      <c r="W19" s="563" t="s">
        <v>20</v>
      </c>
      <c r="X19" s="563" t="s">
        <v>20</v>
      </c>
      <c r="Y19" s="563" t="s">
        <v>20</v>
      </c>
      <c r="Z19" s="563" t="s">
        <v>20</v>
      </c>
      <c r="AA19" s="563" t="s">
        <v>20</v>
      </c>
      <c r="AB19" s="563" t="s">
        <v>20</v>
      </c>
      <c r="AC19" s="563" t="s">
        <v>20</v>
      </c>
      <c r="AD19" s="563" t="s">
        <v>20</v>
      </c>
      <c r="AE19" s="564" t="s">
        <v>20</v>
      </c>
      <c r="AF19" s="563" t="s">
        <v>20</v>
      </c>
      <c r="AG19" s="563" t="s">
        <v>20</v>
      </c>
      <c r="AH19" s="563" t="s">
        <v>20</v>
      </c>
      <c r="AI19" s="563" t="s">
        <v>20</v>
      </c>
      <c r="AJ19" s="563" t="s">
        <v>20</v>
      </c>
      <c r="AK19" s="555" t="s">
        <v>829</v>
      </c>
      <c r="AL19" s="563" t="s">
        <v>20</v>
      </c>
      <c r="AM19" s="559"/>
      <c r="AN19" s="559"/>
      <c r="AP19" s="565"/>
      <c r="AR19" s="559"/>
    </row>
    <row r="20" spans="1:44" ht="15" customHeight="1" x14ac:dyDescent="0.3">
      <c r="A20" s="562" t="s">
        <v>334</v>
      </c>
      <c r="B20" s="555" t="s">
        <v>829</v>
      </c>
      <c r="C20" s="556">
        <v>10000</v>
      </c>
      <c r="D20" s="556">
        <v>1</v>
      </c>
      <c r="E20" s="556" t="s">
        <v>20</v>
      </c>
      <c r="F20" s="556" t="b">
        <v>1</v>
      </c>
      <c r="G20" s="556" t="s">
        <v>20</v>
      </c>
      <c r="H20" s="555" t="s">
        <v>829</v>
      </c>
      <c r="I20" s="557">
        <v>42717</v>
      </c>
      <c r="J20" s="556" t="s">
        <v>830</v>
      </c>
      <c r="K20" s="556" t="b">
        <v>0</v>
      </c>
      <c r="L20" s="556" t="s">
        <v>20</v>
      </c>
      <c r="M20" s="556" t="b">
        <v>0</v>
      </c>
      <c r="N20" s="556" t="b">
        <v>0</v>
      </c>
      <c r="O20" s="556" t="s">
        <v>867</v>
      </c>
      <c r="P20" s="556" t="s">
        <v>20</v>
      </c>
      <c r="Q20" s="556" t="s">
        <v>20</v>
      </c>
      <c r="R20" s="556" t="s">
        <v>20</v>
      </c>
      <c r="S20" s="556" t="s">
        <v>20</v>
      </c>
      <c r="T20" s="556" t="s">
        <v>20</v>
      </c>
      <c r="U20" s="556" t="s">
        <v>20</v>
      </c>
      <c r="V20" s="556" t="s">
        <v>20</v>
      </c>
      <c r="W20" s="556" t="s">
        <v>20</v>
      </c>
      <c r="X20" s="556" t="s">
        <v>20</v>
      </c>
      <c r="Y20" s="556" t="s">
        <v>20</v>
      </c>
      <c r="Z20" s="556" t="s">
        <v>20</v>
      </c>
      <c r="AA20" s="556" t="s">
        <v>20</v>
      </c>
      <c r="AB20" s="556" t="s">
        <v>20</v>
      </c>
      <c r="AC20" s="556" t="s">
        <v>20</v>
      </c>
      <c r="AD20" s="556" t="s">
        <v>20</v>
      </c>
      <c r="AE20" s="558" t="s">
        <v>20</v>
      </c>
      <c r="AF20" s="556" t="s">
        <v>20</v>
      </c>
      <c r="AG20" s="556" t="s">
        <v>20</v>
      </c>
      <c r="AH20" s="556" t="s">
        <v>20</v>
      </c>
      <c r="AI20" s="556" t="s">
        <v>20</v>
      </c>
      <c r="AJ20" s="556" t="s">
        <v>868</v>
      </c>
      <c r="AK20" s="555" t="s">
        <v>829</v>
      </c>
      <c r="AL20" s="556" t="s">
        <v>20</v>
      </c>
      <c r="AM20" s="559"/>
      <c r="AN20" s="559"/>
      <c r="AP20" s="561"/>
      <c r="AR20" s="559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7">
    <tabColor rgb="FF6EDA24"/>
  </sheetPr>
  <dimension ref="B14:L43"/>
  <sheetViews>
    <sheetView showGridLines="0" topLeftCell="A7" workbookViewId="0">
      <selection activeCell="I4" sqref="I4"/>
    </sheetView>
  </sheetViews>
  <sheetFormatPr baseColWidth="10" defaultRowHeight="12" x14ac:dyDescent="0.25"/>
  <cols>
    <col min="1" max="1" width="3.33203125" style="233" customWidth="1"/>
    <col min="2" max="2" width="14.109375" style="233" customWidth="1"/>
    <col min="3" max="3" width="13.33203125" style="233" bestFit="1" customWidth="1"/>
    <col min="4" max="4" width="11.88671875" style="233" bestFit="1" customWidth="1"/>
    <col min="5" max="7" width="14.44140625" style="233" customWidth="1"/>
    <col min="8" max="8" width="12.5546875" style="233" bestFit="1" customWidth="1"/>
    <col min="9" max="9" width="15.33203125" style="233" customWidth="1"/>
    <col min="10" max="10" width="7.44140625" style="233" customWidth="1"/>
    <col min="11" max="11" width="13.6640625" style="233" customWidth="1"/>
    <col min="12" max="16384" width="11.5546875" style="233"/>
  </cols>
  <sheetData>
    <row r="14" spans="2:12" x14ac:dyDescent="0.25">
      <c r="B14" s="351" t="s">
        <v>333</v>
      </c>
      <c r="C14" s="352"/>
      <c r="E14" s="294" t="s">
        <v>338</v>
      </c>
      <c r="F14" s="303"/>
    </row>
    <row r="15" spans="2:12" x14ac:dyDescent="0.25">
      <c r="C15" s="291"/>
      <c r="E15" s="295" t="s">
        <v>375</v>
      </c>
      <c r="F15" s="295"/>
    </row>
    <row r="16" spans="2:12" x14ac:dyDescent="0.25">
      <c r="I16" s="305" t="s">
        <v>337</v>
      </c>
      <c r="J16" s="294" t="s">
        <v>338</v>
      </c>
      <c r="K16" s="294"/>
      <c r="L16" s="299" t="s">
        <v>642</v>
      </c>
    </row>
    <row r="17" spans="2:12" ht="13.8" x14ac:dyDescent="0.3">
      <c r="D17" s="297" t="s">
        <v>329</v>
      </c>
      <c r="E17" s="298" t="s">
        <v>330</v>
      </c>
      <c r="F17" s="298" t="s">
        <v>331</v>
      </c>
      <c r="G17" s="298" t="s">
        <v>332</v>
      </c>
      <c r="J17" s="410" t="s">
        <v>340</v>
      </c>
      <c r="K17" s="411"/>
    </row>
    <row r="18" spans="2:12" x14ac:dyDescent="0.25">
      <c r="C18" s="233" t="s">
        <v>336</v>
      </c>
      <c r="D18" s="292">
        <v>1</v>
      </c>
      <c r="E18" s="296">
        <v>1</v>
      </c>
      <c r="F18" s="293" t="s">
        <v>645</v>
      </c>
      <c r="G18" s="293" t="s">
        <v>646</v>
      </c>
      <c r="J18" s="410" t="s">
        <v>339</v>
      </c>
      <c r="K18" s="411"/>
    </row>
    <row r="19" spans="2:12" x14ac:dyDescent="0.25">
      <c r="C19" s="233" t="s">
        <v>334</v>
      </c>
      <c r="D19" s="292">
        <v>2</v>
      </c>
      <c r="E19" s="293" t="s">
        <v>643</v>
      </c>
      <c r="F19" s="712" t="s">
        <v>647</v>
      </c>
      <c r="G19" s="712" t="s">
        <v>648</v>
      </c>
      <c r="J19" s="410" t="s">
        <v>341</v>
      </c>
      <c r="K19" s="411"/>
    </row>
    <row r="20" spans="2:12" x14ac:dyDescent="0.25">
      <c r="C20" s="233" t="s">
        <v>335</v>
      </c>
      <c r="D20" s="292">
        <v>3</v>
      </c>
      <c r="E20" s="293" t="s">
        <v>644</v>
      </c>
      <c r="F20" s="712"/>
      <c r="G20" s="712"/>
      <c r="J20" s="410" t="s">
        <v>342</v>
      </c>
      <c r="K20" s="411"/>
    </row>
    <row r="21" spans="2:12" x14ac:dyDescent="0.25">
      <c r="D21" s="300"/>
      <c r="E21" s="301"/>
      <c r="F21" s="711" t="s">
        <v>345</v>
      </c>
      <c r="G21" s="711"/>
      <c r="J21" s="299"/>
    </row>
    <row r="22" spans="2:12" x14ac:dyDescent="0.25">
      <c r="D22" s="300"/>
      <c r="E22" s="301"/>
      <c r="F22" s="302"/>
      <c r="G22" s="302"/>
      <c r="J22" s="299"/>
    </row>
    <row r="23" spans="2:12" ht="13.8" x14ac:dyDescent="0.3">
      <c r="C23" s="308" t="s">
        <v>343</v>
      </c>
      <c r="E23" s="294" t="s">
        <v>344</v>
      </c>
      <c r="F23" s="304">
        <f>F26+G26+E27+E28</f>
        <v>3</v>
      </c>
      <c r="I23" s="305" t="s">
        <v>337</v>
      </c>
      <c r="J23" s="294">
        <f>F23</f>
        <v>3</v>
      </c>
      <c r="K23" s="233" t="s">
        <v>338</v>
      </c>
      <c r="L23" s="299" t="s">
        <v>642</v>
      </c>
    </row>
    <row r="24" spans="2:12" x14ac:dyDescent="0.25">
      <c r="C24" s="291"/>
      <c r="J24" s="411">
        <f>E27*F27</f>
        <v>2</v>
      </c>
      <c r="K24" s="233" t="s">
        <v>349</v>
      </c>
    </row>
    <row r="25" spans="2:12" ht="13.8" x14ac:dyDescent="0.3">
      <c r="D25" s="297" t="s">
        <v>329</v>
      </c>
      <c r="E25" s="298" t="s">
        <v>330</v>
      </c>
      <c r="F25" s="298" t="s">
        <v>331</v>
      </c>
      <c r="G25" s="298" t="s">
        <v>332</v>
      </c>
      <c r="J25" s="411">
        <f>E27*G27</f>
        <v>1</v>
      </c>
      <c r="K25" s="233" t="s">
        <v>350</v>
      </c>
    </row>
    <row r="26" spans="2:12" x14ac:dyDescent="0.25">
      <c r="C26" s="233" t="s">
        <v>336</v>
      </c>
      <c r="D26" s="292">
        <v>1</v>
      </c>
      <c r="E26" s="296">
        <v>1</v>
      </c>
      <c r="F26" s="293">
        <v>1</v>
      </c>
      <c r="G26" s="293">
        <v>1</v>
      </c>
      <c r="J26" s="411">
        <f>E28*F27</f>
        <v>0</v>
      </c>
      <c r="K26" s="233" t="s">
        <v>351</v>
      </c>
    </row>
    <row r="27" spans="2:12" x14ac:dyDescent="0.25">
      <c r="C27" s="233" t="s">
        <v>334</v>
      </c>
      <c r="D27" s="292">
        <v>2</v>
      </c>
      <c r="E27" s="293">
        <v>1</v>
      </c>
      <c r="F27" s="712">
        <v>2</v>
      </c>
      <c r="G27" s="712">
        <v>1</v>
      </c>
      <c r="J27" s="411">
        <f>E28*G27</f>
        <v>0</v>
      </c>
      <c r="K27" s="233" t="s">
        <v>352</v>
      </c>
    </row>
    <row r="28" spans="2:12" x14ac:dyDescent="0.25">
      <c r="C28" s="233" t="s">
        <v>335</v>
      </c>
      <c r="D28" s="292">
        <v>3</v>
      </c>
      <c r="E28" s="293">
        <v>0</v>
      </c>
      <c r="F28" s="712"/>
      <c r="G28" s="712"/>
      <c r="J28" s="305">
        <f>SUM(J23:J27)</f>
        <v>6</v>
      </c>
    </row>
    <row r="29" spans="2:12" x14ac:dyDescent="0.25">
      <c r="F29" s="711" t="s">
        <v>345</v>
      </c>
      <c r="G29" s="711"/>
    </row>
    <row r="31" spans="2:12" x14ac:dyDescent="0.25">
      <c r="B31" s="351" t="s">
        <v>213</v>
      </c>
      <c r="C31" s="352"/>
    </row>
    <row r="32" spans="2:12" x14ac:dyDescent="0.25">
      <c r="C32" s="291"/>
    </row>
    <row r="33" spans="3:11" x14ac:dyDescent="0.25">
      <c r="D33" s="710" t="s">
        <v>357</v>
      </c>
      <c r="E33" s="710"/>
      <c r="F33" s="710"/>
      <c r="G33" s="710"/>
    </row>
    <row r="34" spans="3:11" x14ac:dyDescent="0.25">
      <c r="C34" s="292" t="s">
        <v>683</v>
      </c>
      <c r="D34" s="349">
        <v>1</v>
      </c>
      <c r="E34" s="349">
        <v>2</v>
      </c>
      <c r="F34" s="349">
        <v>3</v>
      </c>
      <c r="G34" s="349">
        <v>4</v>
      </c>
    </row>
    <row r="35" spans="3:11" x14ac:dyDescent="0.25">
      <c r="C35" s="292"/>
      <c r="D35" s="353" t="s">
        <v>211</v>
      </c>
      <c r="E35" s="348" t="s">
        <v>353</v>
      </c>
      <c r="F35" s="348" t="s">
        <v>346</v>
      </c>
      <c r="G35" s="307" t="s">
        <v>374</v>
      </c>
    </row>
    <row r="36" spans="3:11" x14ac:dyDescent="0.25">
      <c r="C36" s="306">
        <v>1</v>
      </c>
      <c r="D36" s="350" t="s">
        <v>211</v>
      </c>
      <c r="E36" s="306">
        <v>0</v>
      </c>
      <c r="F36" s="306">
        <v>0</v>
      </c>
      <c r="G36" s="293">
        <v>1</v>
      </c>
      <c r="H36" s="233" t="s">
        <v>360</v>
      </c>
    </row>
    <row r="37" spans="3:11" x14ac:dyDescent="0.25">
      <c r="C37" s="306">
        <v>2</v>
      </c>
      <c r="D37" s="350" t="s">
        <v>211</v>
      </c>
      <c r="E37" s="306" t="s">
        <v>353</v>
      </c>
      <c r="F37" s="306">
        <v>0</v>
      </c>
      <c r="G37" s="293">
        <v>1</v>
      </c>
      <c r="H37" s="233" t="s">
        <v>362</v>
      </c>
    </row>
    <row r="38" spans="3:11" x14ac:dyDescent="0.25">
      <c r="C38" s="306" t="s">
        <v>348</v>
      </c>
      <c r="D38" s="350" t="s">
        <v>211</v>
      </c>
      <c r="E38" s="306" t="s">
        <v>353</v>
      </c>
      <c r="F38" s="306">
        <v>0</v>
      </c>
      <c r="G38" s="412">
        <v>2</v>
      </c>
      <c r="H38" s="411" t="s">
        <v>361</v>
      </c>
      <c r="K38" s="291" t="s">
        <v>397</v>
      </c>
    </row>
    <row r="39" spans="3:11" x14ac:dyDescent="0.25">
      <c r="C39" s="408" t="s">
        <v>348</v>
      </c>
      <c r="D39" s="350" t="s">
        <v>211</v>
      </c>
      <c r="E39" s="408">
        <v>0</v>
      </c>
      <c r="F39" s="408" t="s">
        <v>346</v>
      </c>
      <c r="G39" s="293">
        <v>1</v>
      </c>
      <c r="H39" s="233" t="s">
        <v>376</v>
      </c>
      <c r="I39" s="291"/>
    </row>
    <row r="40" spans="3:11" x14ac:dyDescent="0.25">
      <c r="C40" s="306" t="s">
        <v>347</v>
      </c>
      <c r="D40" s="350">
        <v>0</v>
      </c>
      <c r="E40" s="306">
        <v>0</v>
      </c>
      <c r="F40" s="306" t="s">
        <v>346</v>
      </c>
      <c r="G40" s="412">
        <v>2</v>
      </c>
      <c r="H40" s="411" t="s">
        <v>682</v>
      </c>
      <c r="I40" s="411"/>
      <c r="J40" s="411"/>
    </row>
    <row r="42" spans="3:11" x14ac:dyDescent="0.25">
      <c r="G42" s="294" t="s">
        <v>358</v>
      </c>
    </row>
    <row r="43" spans="3:11" x14ac:dyDescent="0.25">
      <c r="G43" s="411" t="s">
        <v>359</v>
      </c>
    </row>
  </sheetData>
  <mergeCells count="7">
    <mergeCell ref="D33:G33"/>
    <mergeCell ref="F29:G29"/>
    <mergeCell ref="F19:F20"/>
    <mergeCell ref="G19:G20"/>
    <mergeCell ref="F27:F28"/>
    <mergeCell ref="G27:G28"/>
    <mergeCell ref="F21:G21"/>
  </mergeCells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22</vt:i4>
      </vt:variant>
      <vt:variant>
        <vt:lpstr>Benannte Bereiche</vt:lpstr>
      </vt:variant>
      <vt:variant>
        <vt:i4>4</vt:i4>
      </vt:variant>
    </vt:vector>
  </HeadingPairs>
  <TitlesOfParts>
    <vt:vector size="26" baseType="lpstr">
      <vt:lpstr>Entry</vt:lpstr>
      <vt:lpstr>Sort</vt:lpstr>
      <vt:lpstr>Protocol</vt:lpstr>
      <vt:lpstr>Colors</vt:lpstr>
      <vt:lpstr>ColorsSave</vt:lpstr>
      <vt:lpstr>HistoryOfChanges</vt:lpstr>
      <vt:lpstr>SheetHeader_Changes_SAVE</vt:lpstr>
      <vt:lpstr>OverView_GrundbuchEinbuchen</vt:lpstr>
      <vt:lpstr>OverView_GrundpfandrechtEintrag</vt:lpstr>
      <vt:lpstr>OverView_GrundbuchEinbuch</vt:lpstr>
      <vt:lpstr>Docu_GrundbuchEinbuchen</vt:lpstr>
      <vt:lpstr>Docu_EoStandardProcess</vt:lpstr>
      <vt:lpstr>Werkstatt</vt:lpstr>
      <vt:lpstr>Tabelle1</vt:lpstr>
      <vt:lpstr>SheetHeader_OLD</vt:lpstr>
      <vt:lpstr>SheetHeader</vt:lpstr>
      <vt:lpstr>SheetHeader_Changes</vt:lpstr>
      <vt:lpstr>Objekt_OBJEKTKLASSE</vt:lpstr>
      <vt:lpstr>Docu Grundbuch_Einbuchen</vt:lpstr>
      <vt:lpstr>Docu Grundpfandrecht_Eintragen</vt:lpstr>
      <vt:lpstr>PERSONEN_List</vt:lpstr>
      <vt:lpstr>Docu_Eigentuemer</vt:lpstr>
      <vt:lpstr>SheetHeader!Druckbereich</vt:lpstr>
      <vt:lpstr>SheetHeader_Changes!Druckbereich</vt:lpstr>
      <vt:lpstr>SheetHeader_OLD!Druckbereich</vt:lpstr>
      <vt:lpstr>SheetHeader_Changes_SAVE!Drucktitel</vt:lpstr>
    </vt:vector>
  </TitlesOfParts>
  <Company>Atos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2017-01-04T13:50:43Z</dcterms:created>
  <dc:creator>Atos Information Technology GmbH</dc:creator>
  <cp:lastModifiedBy>Kerlies, Claudia</cp:lastModifiedBy>
  <cp:lastPrinted>2018-07-16T12:50:30Z</cp:lastPrinted>
  <dcterms:modified xsi:type="dcterms:W3CDTF">2020-05-08T13:45:26Z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1253724744</vt:i4>
  </property>
  <property fmtid="{D5CDD505-2E9C-101B-9397-08002B2CF9AE}" pid="3" name="_NewReviewCycle">
    <vt:lpwstr/>
  </property>
  <property fmtid="{D5CDD505-2E9C-101B-9397-08002B2CF9AE}" pid="4" name="_EmailSubject">
    <vt:lpwstr>changes in macro required</vt:lpwstr>
  </property>
  <property fmtid="{D5CDD505-2E9C-101B-9397-08002B2CF9AE}" pid="5" name="_AuthorEmail">
    <vt:lpwstr>monika.strakowska@atos.net</vt:lpwstr>
  </property>
  <property fmtid="{D5CDD505-2E9C-101B-9397-08002B2CF9AE}" pid="6" name="_AuthorEmailDisplayName">
    <vt:lpwstr>Strakowska, Monika</vt:lpwstr>
  </property>
  <property fmtid="{D5CDD505-2E9C-101B-9397-08002B2CF9AE}" pid="7" name="_PreviousAdHocReviewCycleID">
    <vt:i4>-1448958411</vt:i4>
  </property>
  <property fmtid="{D5CDD505-2E9C-101B-9397-08002B2CF9AE}" pid="8" name="_ReviewingToolsShownOnce">
    <vt:lpwstr/>
  </property>
  <property fmtid="{D5CDD505-2E9C-101B-9397-08002B2CF9AE}" pid="9" name="MSIP_Label_112e00b9-34e2-4b26-a577-af1fd0f9f7ee_Enabled">
    <vt:lpwstr>True</vt:lpwstr>
  </property>
  <property fmtid="{D5CDD505-2E9C-101B-9397-08002B2CF9AE}" pid="10" name="MSIP_Label_112e00b9-34e2-4b26-a577-af1fd0f9f7ee_SiteId">
    <vt:lpwstr>33440fc6-b7c7-412c-bb73-0e70b0198d5a</vt:lpwstr>
  </property>
  <property fmtid="{D5CDD505-2E9C-101B-9397-08002B2CF9AE}" pid="11" name="MSIP_Label_112e00b9-34e2-4b26-a577-af1fd0f9f7ee_Owner">
    <vt:lpwstr>claudia.kerlies@atos.net</vt:lpwstr>
  </property>
  <property fmtid="{D5CDD505-2E9C-101B-9397-08002B2CF9AE}" pid="12" name="MSIP_Label_112e00b9-34e2-4b26-a577-af1fd0f9f7ee_SetDate">
    <vt:lpwstr>2020-01-03T08:09:27.8383141Z</vt:lpwstr>
  </property>
  <property fmtid="{D5CDD505-2E9C-101B-9397-08002B2CF9AE}" pid="13" name="MSIP_Label_112e00b9-34e2-4b26-a577-af1fd0f9f7ee_Name">
    <vt:lpwstr>Atos For Internal Use</vt:lpwstr>
  </property>
  <property fmtid="{D5CDD505-2E9C-101B-9397-08002B2CF9AE}" pid="14" name="MSIP_Label_112e00b9-34e2-4b26-a577-af1fd0f9f7ee_Application">
    <vt:lpwstr>Microsoft Azure Information Protection</vt:lpwstr>
  </property>
  <property fmtid="{D5CDD505-2E9C-101B-9397-08002B2CF9AE}" pid="15" name="MSIP_Label_112e00b9-34e2-4b26-a577-af1fd0f9f7ee_ActionId">
    <vt:lpwstr>65520188-d100-4215-84e0-7bfc5f579647</vt:lpwstr>
  </property>
  <property fmtid="{D5CDD505-2E9C-101B-9397-08002B2CF9AE}" pid="16" name="MSIP_Label_112e00b9-34e2-4b26-a577-af1fd0f9f7ee_Extended_MSFT_Method">
    <vt:lpwstr>Automatic</vt:lpwstr>
  </property>
  <property fmtid="{D5CDD505-2E9C-101B-9397-08002B2CF9AE}" pid="17" name="MSIP_Label_e463cba9-5f6c-478d-9329-7b2295e4e8ed_Enabled">
    <vt:lpwstr>True</vt:lpwstr>
  </property>
  <property fmtid="{D5CDD505-2E9C-101B-9397-08002B2CF9AE}" pid="18" name="MSIP_Label_e463cba9-5f6c-478d-9329-7b2295e4e8ed_SiteId">
    <vt:lpwstr>33440fc6-b7c7-412c-bb73-0e70b0198d5a</vt:lpwstr>
  </property>
  <property fmtid="{D5CDD505-2E9C-101B-9397-08002B2CF9AE}" pid="19" name="MSIP_Label_e463cba9-5f6c-478d-9329-7b2295e4e8ed_Owner">
    <vt:lpwstr>claudia.kerlies@atos.net</vt:lpwstr>
  </property>
  <property fmtid="{D5CDD505-2E9C-101B-9397-08002B2CF9AE}" pid="20" name="MSIP_Label_e463cba9-5f6c-478d-9329-7b2295e4e8ed_SetDate">
    <vt:lpwstr>2020-01-03T08:09:27.8387710Z</vt:lpwstr>
  </property>
  <property fmtid="{D5CDD505-2E9C-101B-9397-08002B2CF9AE}" pid="21" name="MSIP_Label_e463cba9-5f6c-478d-9329-7b2295e4e8ed_Name">
    <vt:lpwstr>Atos For Internal Use - All Employees</vt:lpwstr>
  </property>
  <property fmtid="{D5CDD505-2E9C-101B-9397-08002B2CF9AE}" pid="22" name="MSIP_Label_e463cba9-5f6c-478d-9329-7b2295e4e8ed_Application">
    <vt:lpwstr>Microsoft Azure Information Protection</vt:lpwstr>
  </property>
  <property fmtid="{D5CDD505-2E9C-101B-9397-08002B2CF9AE}" pid="23" name="MSIP_Label_e463cba9-5f6c-478d-9329-7b2295e4e8ed_ActionId">
    <vt:lpwstr>65520188-d100-4215-84e0-7bfc5f579647</vt:lpwstr>
  </property>
  <property fmtid="{D5CDD505-2E9C-101B-9397-08002B2CF9AE}" pid="24" name="MSIP_Label_e463cba9-5f6c-478d-9329-7b2295e4e8ed_Parent">
    <vt:lpwstr>112e00b9-34e2-4b26-a577-af1fd0f9f7ee</vt:lpwstr>
  </property>
  <property fmtid="{D5CDD505-2E9C-101B-9397-08002B2CF9AE}" pid="25" name="MSIP_Label_e463cba9-5f6c-478d-9329-7b2295e4e8ed_Extended_MSFT_Method">
    <vt:lpwstr>Automatic</vt:lpwstr>
  </property>
  <property fmtid="{D5CDD505-2E9C-101B-9397-08002B2CF9AE}" pid="26" name="Sensitivity">
    <vt:lpwstr>Atos For Internal Use Atos For Internal Use - All Employees</vt:lpwstr>
  </property>
</Properties>
</file>